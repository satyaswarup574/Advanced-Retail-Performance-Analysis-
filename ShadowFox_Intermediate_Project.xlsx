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3094e801ff9ea656/Desktop/ShadowFox Internship/"/>
    </mc:Choice>
  </mc:AlternateContent>
  <xr:revisionPtr revIDLastSave="2" documentId="8_{6FF135E3-202C-4E19-9BFB-50FF0B92CAD3}" xr6:coauthVersionLast="47" xr6:coauthVersionMax="47" xr10:uidLastSave="{3735233B-9071-42E3-BBA7-6604EE3ADAF1}"/>
  <bookViews>
    <workbookView xWindow="-108" yWindow="-108" windowWidth="23256" windowHeight="12456" activeTab="2" xr2:uid="{94CDE97C-55B5-421F-A481-B70496BF989D}"/>
  </bookViews>
  <sheets>
    <sheet name="Cleaned Data" sheetId="1" r:id="rId1"/>
    <sheet name="Analysis &amp; Pivots" sheetId="2" r:id="rId2"/>
    <sheet name="Dashboard" sheetId="3" r:id="rId3"/>
  </sheets>
  <definedNames>
    <definedName name="Slicer_CATEGORY">#N/A</definedName>
    <definedName name="Slicer_MARGIN_PERFORMANC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2" i="1"/>
  <c r="O3" i="1" a="1"/>
  <c r="O3" i="1" s="1"/>
  <c r="O4" i="1" a="1"/>
  <c r="O4" i="1" s="1"/>
  <c r="O5" i="1" a="1"/>
  <c r="O5" i="1"/>
  <c r="O6" i="1" a="1"/>
  <c r="O6" i="1"/>
  <c r="O7" i="1" a="1"/>
  <c r="O7" i="1"/>
  <c r="O8" i="1" a="1"/>
  <c r="O8" i="1"/>
  <c r="O9" i="1" a="1"/>
  <c r="O9" i="1" s="1"/>
  <c r="O10" i="1" a="1"/>
  <c r="O10" i="1" s="1"/>
  <c r="O11" i="1" a="1"/>
  <c r="O11" i="1"/>
  <c r="O12" i="1" a="1"/>
  <c r="O12" i="1"/>
  <c r="O13" i="1" a="1"/>
  <c r="O13" i="1"/>
  <c r="O14" i="1" a="1"/>
  <c r="O14" i="1"/>
  <c r="O15" i="1" a="1"/>
  <c r="O15" i="1" s="1"/>
  <c r="O16" i="1" a="1"/>
  <c r="O16" i="1" s="1"/>
  <c r="O17" i="1" a="1"/>
  <c r="O17" i="1"/>
  <c r="O18" i="1" a="1"/>
  <c r="O18" i="1"/>
  <c r="O19" i="1" a="1"/>
  <c r="O19" i="1"/>
  <c r="O20" i="1" a="1"/>
  <c r="O20" i="1"/>
  <c r="O21" i="1" a="1"/>
  <c r="O21" i="1" s="1"/>
  <c r="O22" i="1" a="1"/>
  <c r="O22" i="1" s="1"/>
  <c r="O23" i="1" a="1"/>
  <c r="O23" i="1"/>
  <c r="O24" i="1" a="1"/>
  <c r="O24" i="1"/>
  <c r="O25" i="1" a="1"/>
  <c r="O25" i="1"/>
  <c r="O26" i="1" a="1"/>
  <c r="O26" i="1"/>
  <c r="O27" i="1" a="1"/>
  <c r="O27" i="1" s="1"/>
  <c r="O28" i="1" a="1"/>
  <c r="O28" i="1" s="1"/>
  <c r="O29" i="1" a="1"/>
  <c r="O29" i="1"/>
  <c r="O30" i="1" a="1"/>
  <c r="O30" i="1"/>
  <c r="O31" i="1" a="1"/>
  <c r="O31" i="1"/>
  <c r="O32" i="1" a="1"/>
  <c r="O32" i="1"/>
  <c r="O33" i="1" a="1"/>
  <c r="O33" i="1" s="1"/>
  <c r="O34" i="1" a="1"/>
  <c r="O34" i="1" s="1"/>
  <c r="O35" i="1" a="1"/>
  <c r="O35" i="1"/>
  <c r="O36" i="1" a="1"/>
  <c r="O36" i="1"/>
  <c r="O37" i="1" a="1"/>
  <c r="O37" i="1"/>
  <c r="O38" i="1" a="1"/>
  <c r="O38" i="1"/>
  <c r="O39" i="1" a="1"/>
  <c r="O39" i="1" s="1"/>
  <c r="O40" i="1" a="1"/>
  <c r="O40" i="1" s="1"/>
  <c r="O41" i="1" a="1"/>
  <c r="O41" i="1"/>
  <c r="O42" i="1" a="1"/>
  <c r="O42" i="1"/>
  <c r="O43" i="1" a="1"/>
  <c r="O43" i="1"/>
  <c r="O44" i="1" a="1"/>
  <c r="O44" i="1"/>
  <c r="O45" i="1" a="1"/>
  <c r="O45" i="1" s="1"/>
  <c r="O46" i="1" a="1"/>
  <c r="O46" i="1" s="1"/>
  <c r="O47" i="1" a="1"/>
  <c r="O47" i="1"/>
  <c r="O48" i="1" a="1"/>
  <c r="O48" i="1"/>
  <c r="O49" i="1" a="1"/>
  <c r="O49" i="1"/>
  <c r="O50" i="1" a="1"/>
  <c r="O50" i="1"/>
  <c r="O51" i="1" a="1"/>
  <c r="O51" i="1" s="1"/>
  <c r="O52" i="1" a="1"/>
  <c r="O52" i="1" s="1"/>
  <c r="O53" i="1" a="1"/>
  <c r="O53" i="1"/>
  <c r="O54" i="1" a="1"/>
  <c r="O54" i="1"/>
  <c r="O55" i="1" a="1"/>
  <c r="O55" i="1"/>
  <c r="O56" i="1" a="1"/>
  <c r="O56" i="1"/>
  <c r="O57" i="1" a="1"/>
  <c r="O57" i="1" s="1"/>
  <c r="O58" i="1" a="1"/>
  <c r="O58" i="1" s="1"/>
  <c r="O59" i="1" a="1"/>
  <c r="O59" i="1"/>
  <c r="O60" i="1" a="1"/>
  <c r="O60" i="1"/>
  <c r="O61" i="1" a="1"/>
  <c r="O61" i="1"/>
  <c r="O2" i="1" a="1"/>
  <c r="O2" i="1"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2" i="1"/>
  <c r="L61" i="1"/>
  <c r="L60" i="1"/>
  <c r="L59" i="1"/>
  <c r="L58" i="1"/>
  <c r="L57" i="1"/>
  <c r="L55" i="1"/>
  <c r="L49" i="1"/>
  <c r="L48" i="1"/>
  <c r="L47" i="1"/>
  <c r="L46" i="1"/>
  <c r="L45" i="1"/>
  <c r="L43" i="1"/>
  <c r="L37" i="1"/>
  <c r="L36" i="1"/>
  <c r="L35" i="1"/>
  <c r="L34" i="1"/>
  <c r="L33" i="1"/>
  <c r="L31" i="1"/>
  <c r="L25" i="1"/>
  <c r="L24" i="1"/>
  <c r="L23" i="1"/>
  <c r="L22" i="1"/>
  <c r="L21" i="1"/>
  <c r="L19" i="1"/>
  <c r="L13" i="1"/>
  <c r="L12" i="1"/>
  <c r="L11" i="1"/>
  <c r="L10" i="1"/>
  <c r="L9" i="1"/>
  <c r="L7"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H1048576" i="1"/>
  <c r="I3" i="1"/>
  <c r="L3" i="1" s="1"/>
  <c r="I4" i="1"/>
  <c r="L4" i="1" s="1"/>
  <c r="I5" i="1"/>
  <c r="L5" i="1" s="1"/>
  <c r="I6" i="1"/>
  <c r="L6" i="1" s="1"/>
  <c r="I7" i="1"/>
  <c r="I8" i="1"/>
  <c r="L8" i="1" s="1"/>
  <c r="I9" i="1"/>
  <c r="I10" i="1"/>
  <c r="I11" i="1"/>
  <c r="I12" i="1"/>
  <c r="I13" i="1"/>
  <c r="I14" i="1"/>
  <c r="L14" i="1" s="1"/>
  <c r="I15" i="1"/>
  <c r="L15" i="1" s="1"/>
  <c r="I16" i="1"/>
  <c r="L16" i="1" s="1"/>
  <c r="I17" i="1"/>
  <c r="L17" i="1" s="1"/>
  <c r="I18" i="1"/>
  <c r="L18" i="1" s="1"/>
  <c r="I19" i="1"/>
  <c r="I20" i="1"/>
  <c r="L20" i="1" s="1"/>
  <c r="I21" i="1"/>
  <c r="I22" i="1"/>
  <c r="I23" i="1"/>
  <c r="I24" i="1"/>
  <c r="I25" i="1"/>
  <c r="I26" i="1"/>
  <c r="L26" i="1" s="1"/>
  <c r="I27" i="1"/>
  <c r="L27" i="1" s="1"/>
  <c r="I28" i="1"/>
  <c r="L28" i="1" s="1"/>
  <c r="I29" i="1"/>
  <c r="L29" i="1" s="1"/>
  <c r="I30" i="1"/>
  <c r="L30" i="1" s="1"/>
  <c r="I31" i="1"/>
  <c r="I32" i="1"/>
  <c r="L32" i="1" s="1"/>
  <c r="I33" i="1"/>
  <c r="I34" i="1"/>
  <c r="I35" i="1"/>
  <c r="I36" i="1"/>
  <c r="I37" i="1"/>
  <c r="I38" i="1"/>
  <c r="L38" i="1" s="1"/>
  <c r="I39" i="1"/>
  <c r="L39" i="1" s="1"/>
  <c r="I40" i="1"/>
  <c r="L40" i="1" s="1"/>
  <c r="I41" i="1"/>
  <c r="L41" i="1" s="1"/>
  <c r="I42" i="1"/>
  <c r="L42" i="1" s="1"/>
  <c r="I43" i="1"/>
  <c r="I44" i="1"/>
  <c r="L44" i="1" s="1"/>
  <c r="I45" i="1"/>
  <c r="I46" i="1"/>
  <c r="I47" i="1"/>
  <c r="I48" i="1"/>
  <c r="I49" i="1"/>
  <c r="I50" i="1"/>
  <c r="L50" i="1" s="1"/>
  <c r="I51" i="1"/>
  <c r="L51" i="1" s="1"/>
  <c r="I52" i="1"/>
  <c r="L52" i="1" s="1"/>
  <c r="I53" i="1"/>
  <c r="L53" i="1" s="1"/>
  <c r="I54" i="1"/>
  <c r="L54" i="1" s="1"/>
  <c r="I55" i="1"/>
  <c r="I56" i="1"/>
  <c r="L56" i="1" s="1"/>
  <c r="I57" i="1"/>
  <c r="I58" i="1"/>
  <c r="I59" i="1"/>
  <c r="I60" i="1"/>
  <c r="I61" i="1"/>
  <c r="I2" i="1"/>
  <c r="L2" i="1" s="1"/>
  <c r="A2" i="1" a="1"/>
  <c r="A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<sst xmlns="http://schemas.openxmlformats.org/spreadsheetml/2006/main" count="215" uniqueCount="95">
  <si>
    <t>ORDER ID</t>
  </si>
  <si>
    <t>DATE</t>
  </si>
  <si>
    <t>PRODUCT</t>
  </si>
  <si>
    <t>CATEGORY</t>
  </si>
  <si>
    <t>REGION</t>
  </si>
  <si>
    <t>PROFIT</t>
  </si>
  <si>
    <t>LAPTOP</t>
  </si>
  <si>
    <t>KEYBOARD</t>
  </si>
  <si>
    <t>MOUSE</t>
  </si>
  <si>
    <t>BED</t>
  </si>
  <si>
    <t>SOFA</t>
  </si>
  <si>
    <t>POWER BANK</t>
  </si>
  <si>
    <t>PENDRIVE</t>
  </si>
  <si>
    <t>LAPTOP CHARGER</t>
  </si>
  <si>
    <t>PRINTER</t>
  </si>
  <si>
    <t>SCANNER</t>
  </si>
  <si>
    <t>OFFICE TABLE</t>
  </si>
  <si>
    <t>BOOKSHELF</t>
  </si>
  <si>
    <t>USB CABLE</t>
  </si>
  <si>
    <t>HDMI CABLE</t>
  </si>
  <si>
    <t>ELECTRONICS</t>
  </si>
  <si>
    <t>FURNITURE</t>
  </si>
  <si>
    <t>ACCESSORIES</t>
  </si>
  <si>
    <t>DESKTOP COMPUTER</t>
  </si>
  <si>
    <t>MONITOR</t>
  </si>
  <si>
    <t>TABLET</t>
  </si>
  <si>
    <t>SMARTPHONE</t>
  </si>
  <si>
    <t>SMARTWATCH</t>
  </si>
  <si>
    <t>TELEVISION</t>
  </si>
  <si>
    <t>REFRIGERETOR</t>
  </si>
  <si>
    <t>WASHING MACHINE</t>
  </si>
  <si>
    <t>MICROWAVE OVEN</t>
  </si>
  <si>
    <t>AIR CONDITIONER</t>
  </si>
  <si>
    <t>AIR COOLER</t>
  </si>
  <si>
    <t>SPEAKER</t>
  </si>
  <si>
    <t>HEADPHONES</t>
  </si>
  <si>
    <t>EARPHONES</t>
  </si>
  <si>
    <t>BLUETOOTH SPEAKER</t>
  </si>
  <si>
    <t>OFFICE CHAIR</t>
  </si>
  <si>
    <t>EXECUTIVE CHAIR</t>
  </si>
  <si>
    <t>COMPUTER CHAIR</t>
  </si>
  <si>
    <t>DINING TABLE</t>
  </si>
  <si>
    <t>STUDY TABLE</t>
  </si>
  <si>
    <t>COMPUTER TABLE</t>
  </si>
  <si>
    <t>WARDROBE</t>
  </si>
  <si>
    <t>COFFEE TABLE</t>
  </si>
  <si>
    <t xml:space="preserve">TV STAND </t>
  </si>
  <si>
    <t>CABINET</t>
  </si>
  <si>
    <t>DRAWER UNIT</t>
  </si>
  <si>
    <t>RECEPTION DESK</t>
  </si>
  <si>
    <t>CONFERENCE TABLE</t>
  </si>
  <si>
    <t>FILLING CABINET</t>
  </si>
  <si>
    <t>STOOL</t>
  </si>
  <si>
    <t>TYPE-C CABLE</t>
  </si>
  <si>
    <t>MOBILE CHARGER</t>
  </si>
  <si>
    <t>USB HUB</t>
  </si>
  <si>
    <t>MEMORY CARD</t>
  </si>
  <si>
    <t>LAPTOP BAG</t>
  </si>
  <si>
    <t>MOBILE COVER</t>
  </si>
  <si>
    <t>SCREEN PROTECTOR</t>
  </si>
  <si>
    <t>MOUSE PAD</t>
  </si>
  <si>
    <t>LAPTOP STAND</t>
  </si>
  <si>
    <t>WEBCAM</t>
  </si>
  <si>
    <t>COMPUTER SPEAKERS</t>
  </si>
  <si>
    <t>WIRELESS MOUSE</t>
  </si>
  <si>
    <t>WIRELESS KEYBOARD</t>
  </si>
  <si>
    <t>EXTENSION BOARD</t>
  </si>
  <si>
    <t>SURGE PROTECTOR</t>
  </si>
  <si>
    <t>EAST</t>
  </si>
  <si>
    <t>WEST</t>
  </si>
  <si>
    <t>NORTH</t>
  </si>
  <si>
    <t>SOUTH</t>
  </si>
  <si>
    <t xml:space="preserve">NORTH </t>
  </si>
  <si>
    <t>QUANTITY</t>
  </si>
  <si>
    <t>COST PRICE</t>
  </si>
  <si>
    <t>SALES PRICE</t>
  </si>
  <si>
    <t>COFEE TABLE</t>
  </si>
  <si>
    <t>TOTAL REVENUE</t>
  </si>
  <si>
    <t>TOTAL COST</t>
  </si>
  <si>
    <t>TOTAL PROFIT</t>
  </si>
  <si>
    <t>PROFIT MARGIN %</t>
  </si>
  <si>
    <t>MONTH - YEAR</t>
  </si>
  <si>
    <t>ORDER VALUE TIER</t>
  </si>
  <si>
    <t>MARGIN PERFORMANCE</t>
  </si>
  <si>
    <t>Row Labels</t>
  </si>
  <si>
    <t>Grand Total</t>
  </si>
  <si>
    <t>Sum of TOTAL REVENUE</t>
  </si>
  <si>
    <t>Average of PROFIT MARGIN %</t>
  </si>
  <si>
    <t>High Value</t>
  </si>
  <si>
    <t>Low Value</t>
  </si>
  <si>
    <t>Column Labels</t>
  </si>
  <si>
    <t>Count of ORDER ID</t>
  </si>
  <si>
    <t>Oct 2026</t>
  </si>
  <si>
    <t>Sep 2026</t>
  </si>
  <si>
    <t>Sum of 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</si>
</sst>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Aptos Narrow"/>
      <family val="2"/>
      <scheme val="minor"/>
    </font>
    <font>
      <b/>
      <sz val="11"/>
      <color rgb="FFFF0000"/>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0" fillId="0" borderId="0" xfId="0" applyAlignment="1">
      <alignment horizontal="center"/>
    </xf>
    <xf numFmtId="0" fontId="1" fillId="0" borderId="1" xfId="0" applyFont="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2" fillId="0" borderId="0" xfId="0" applyFont="1" applyAlignment="1">
      <alignment horizontal="center"/>
    </xf>
    <xf numFmtId="14" fontId="1" fillId="0" borderId="1" xfId="0" applyNumberFormat="1" applyFont="1" applyBorder="1" applyAlignment="1">
      <alignment horizontal="center"/>
    </xf>
    <xf numFmtId="14" fontId="0" fillId="0" borderId="0" xfId="0" applyNumberFormat="1" applyAlignment="1">
      <alignment horizontal="center"/>
    </xf>
    <xf numFmtId="2" fontId="1" fillId="0" borderId="1" xfId="0" applyNumberFormat="1" applyFont="1" applyBorder="1" applyAlignment="1">
      <alignment horizontal="center"/>
    </xf>
    <xf numFmtId="2" fontId="0" fillId="0" borderId="1" xfId="0" applyNumberFormat="1" applyBorder="1" applyAlignment="1">
      <alignment horizontal="center"/>
    </xf>
    <xf numFmtId="2" fontId="0" fillId="0" borderId="0" xfId="0" applyNumberFormat="1" applyAlignment="1">
      <alignment horizontal="center"/>
    </xf>
    <xf numFmtId="164" fontId="1" fillId="0" borderId="1" xfId="0" applyNumberFormat="1" applyFont="1" applyBorder="1" applyAlignment="1">
      <alignment horizontal="center"/>
    </xf>
    <xf numFmtId="164" fontId="0" fillId="0" borderId="1" xfId="0" applyNumberFormat="1" applyBorder="1" applyAlignment="1">
      <alignment horizontal="center"/>
    </xf>
    <xf numFmtId="164" fontId="0" fillId="0" borderId="0" xfId="0" applyNumberFormat="1" applyAlignment="1">
      <alignment horizontal="center"/>
    </xf>
    <xf numFmtId="10" fontId="0" fillId="0" borderId="0" xfId="0" applyNumberFormat="1" applyAlignment="1">
      <alignment horizontal="center"/>
    </xf>
    <xf numFmtId="10" fontId="1" fillId="0" borderId="1" xfId="0" applyNumberFormat="1" applyFont="1" applyBorder="1" applyAlignment="1">
      <alignment horizontal="center"/>
    </xf>
    <xf numFmtId="10" fontId="0" fillId="0" borderId="1" xfId="0" applyNumberFormat="1" applyBorder="1" applyAlignment="1">
      <alignment horizontal="center"/>
    </xf>
    <xf numFmtId="0" fontId="0" fillId="0" borderId="1" xfId="0" applyBorder="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openxmlformats.org/officeDocument/2006/relationships/customXml" Target="../customXml/item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[ShadowFox_Intermediate_Project.xlsx]Analysis &amp; Pivots!PivotTable1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 Revenue vs. Profit Margin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&amp; Pivots'!$B$1</c:f>
              <c:strCache>
                <c:ptCount val="1"/>
                <c:pt idx="0">
                  <c:v>Sum of TOTAL REVENUE</c:v>
                </c:pt>
              </c:strCache>
            </c:strRef>
          </c:tx>
          <c:spPr>
            <a:solidFill>
              <a:schemeClr val="accent1"/>
            </a:solidFill>
            <a:ln>
              <a:noFill/>
            </a:ln>
            <a:effectLst/>
          </c:spPr>
          <c:invertIfNegative val="0"/>
          <c:cat>
            <c:strRef>
              <c:f>'Analysis &amp; Pivots'!$A$2</c:f>
              <c:strCache>
                <c:ptCount val="1"/>
                <c:pt idx="0">
                  <c:v>Grand Total</c:v>
                </c:pt>
              </c:strCache>
            </c:strRef>
          </c:cat>
          <c:val>
            <c:numRef>
              <c:f>'Analysis &amp; Pivots'!$B$2</c:f>
              <c:numCache>
                <c:formatCode>"₹"\ #,##0.00</c:formatCode>
                <c:ptCount val="1"/>
              </c:numCache>
            </c:numRef>
          </c:val>
          <c:extLst>
            <c:ext xmlns:c16="http://schemas.microsoft.com/office/drawing/2014/chart" uri="{C3380CC4-5D6E-409C-BE32-E72D297353CC}">
              <c16:uniqueId val="{00000000-3059-49D0-AB85-64226D2BFD6E}"/>
            </c:ext>
          </c:extLst>
        </c:ser>
        <c:dLbls>
          <c:showLegendKey val="0"/>
          <c:showVal val="0"/>
          <c:showCatName val="0"/>
          <c:showSerName val="0"/>
          <c:showPercent val="0"/>
          <c:showBubbleSize val="0"/>
        </c:dLbls>
        <c:gapWidth val="219"/>
        <c:overlap val="-27"/>
        <c:axId val="2078615296"/>
        <c:axId val="169630736"/>
      </c:barChart>
      <c:lineChart>
        <c:grouping val="standard"/>
        <c:varyColors val="0"/>
        <c:ser>
          <c:idx val="1"/>
          <c:order val="1"/>
          <c:tx>
            <c:strRef>
              <c:f>'Analysis &amp; Pivots'!$C$1</c:f>
              <c:strCache>
                <c:ptCount val="1"/>
                <c:pt idx="0">
                  <c:v>Average of PROFIT MARGIN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 &amp; Pivots'!$A$2</c:f>
              <c:strCache>
                <c:ptCount val="1"/>
                <c:pt idx="0">
                  <c:v>Grand Total</c:v>
                </c:pt>
              </c:strCache>
            </c:strRef>
          </c:cat>
          <c:val>
            <c:numRef>
              <c:f>'Analysis &amp; Pivots'!$C$2</c:f>
              <c:numCache>
                <c:formatCode>0.00%</c:formatCode>
                <c:ptCount val="1"/>
              </c:numCache>
            </c:numRef>
          </c:val>
          <c:smooth val="0"/>
          <c:extLst>
            <c:ext xmlns:c16="http://schemas.microsoft.com/office/drawing/2014/chart" uri="{C3380CC4-5D6E-409C-BE32-E72D297353CC}">
              <c16:uniqueId val="{00000001-3059-49D0-AB85-64226D2BFD6E}"/>
            </c:ext>
          </c:extLst>
        </c:ser>
        <c:dLbls>
          <c:showLegendKey val="0"/>
          <c:showVal val="0"/>
          <c:showCatName val="0"/>
          <c:showSerName val="0"/>
          <c:showPercent val="0"/>
          <c:showBubbleSize val="0"/>
        </c:dLbls>
        <c:marker val="1"/>
        <c:smooth val="0"/>
        <c:axId val="2078659376"/>
        <c:axId val="169642736"/>
      </c:lineChart>
      <c:catAx>
        <c:axId val="207861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30736"/>
        <c:crosses val="autoZero"/>
        <c:auto val="1"/>
        <c:lblAlgn val="ctr"/>
        <c:lblOffset val="100"/>
        <c:noMultiLvlLbl val="0"/>
      </c:catAx>
      <c:valAx>
        <c:axId val="1696307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615296"/>
        <c:crosses val="autoZero"/>
        <c:crossBetween val="between"/>
      </c:valAx>
      <c:valAx>
        <c:axId val="16964273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659376"/>
        <c:crosses val="max"/>
        <c:crossBetween val="between"/>
      </c:valAx>
      <c:catAx>
        <c:axId val="2078659376"/>
        <c:scaling>
          <c:orientation val="minMax"/>
        </c:scaling>
        <c:delete val="1"/>
        <c:axPos val="b"/>
        <c:numFmt formatCode="General" sourceLinked="1"/>
        <c:majorTickMark val="out"/>
        <c:minorTickMark val="none"/>
        <c:tickLblPos val="nextTo"/>
        <c:crossAx val="1696427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[ShadowFox_Intermediate_Project.xlsx]Analysis &amp; Pivots!PivotTable2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 Value Segment Share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'Analysis &amp; Pivots'!$G$1:$G$2</c:f>
              <c:strCache>
                <c:ptCount val="1"/>
                <c:pt idx="0">
                  <c:v>High Value</c:v>
                </c:pt>
              </c:strCache>
            </c:strRef>
          </c:tx>
          <c:spPr>
            <a:solidFill>
              <a:schemeClr val="accent1"/>
            </a:solidFill>
            <a:ln>
              <a:noFill/>
            </a:ln>
            <a:effectLst/>
          </c:spPr>
          <c:invertIfNegative val="0"/>
          <c:cat>
            <c:strRef>
              <c:f>'Analysis &amp; Pivots'!$F$3:$F$5</c:f>
              <c:strCache>
                <c:ptCount val="2"/>
                <c:pt idx="0">
                  <c:v>SOUTH</c:v>
                </c:pt>
                <c:pt idx="1">
                  <c:v>WEST</c:v>
                </c:pt>
              </c:strCache>
            </c:strRef>
          </c:cat>
          <c:val>
            <c:numRef>
              <c:f>'Analysis &amp; Pivots'!$G$3:$G$5</c:f>
              <c:numCache>
                <c:formatCode>General</c:formatCode>
                <c:ptCount val="2"/>
                <c:pt idx="1">
                  <c:v>1</c:v>
                </c:pt>
              </c:numCache>
            </c:numRef>
          </c:val>
          <c:extLst>
            <c:ext xmlns:c16="http://schemas.microsoft.com/office/drawing/2014/chart" uri="{C3380CC4-5D6E-409C-BE32-E72D297353CC}">
              <c16:uniqueId val="{00000000-EE27-45EB-B821-7C86EBFF0E5E}"/>
            </c:ext>
          </c:extLst>
        </c:ser>
        <c:ser>
          <c:idx val="1"/>
          <c:order val="1"/>
          <c:tx>
            <c:strRef>
              <c:f>'Analysis &amp; Pivots'!$H$1:$H$2</c:f>
              <c:strCache>
                <c:ptCount val="1"/>
                <c:pt idx="0">
                  <c:v>Low Value</c:v>
                </c:pt>
              </c:strCache>
            </c:strRef>
          </c:tx>
          <c:spPr>
            <a:solidFill>
              <a:schemeClr val="accent2"/>
            </a:solidFill>
            <a:ln>
              <a:noFill/>
            </a:ln>
            <a:effectLst/>
          </c:spPr>
          <c:invertIfNegative val="0"/>
          <c:cat>
            <c:strRef>
              <c:f>'Analysis &amp; Pivots'!$F$3:$F$5</c:f>
              <c:strCache>
                <c:ptCount val="2"/>
                <c:pt idx="0">
                  <c:v>SOUTH</c:v>
                </c:pt>
                <c:pt idx="1">
                  <c:v>WEST</c:v>
                </c:pt>
              </c:strCache>
            </c:strRef>
          </c:cat>
          <c:val>
            <c:numRef>
              <c:f>'Analysis &amp; Pivots'!$H$3:$H$5</c:f>
              <c:numCache>
                <c:formatCode>General</c:formatCode>
                <c:ptCount val="2"/>
                <c:pt idx="0">
                  <c:v>1</c:v>
                </c:pt>
                <c:pt idx="1">
                  <c:v>2</c:v>
                </c:pt>
              </c:numCache>
            </c:numRef>
          </c:val>
          <c:extLst>
            <c:ext xmlns:c16="http://schemas.microsoft.com/office/drawing/2014/chart" uri="{C3380CC4-5D6E-409C-BE32-E72D297353CC}">
              <c16:uniqueId val="{00000001-EE27-45EB-B821-7C86EBFF0E5E}"/>
            </c:ext>
          </c:extLst>
        </c:ser>
        <c:dLbls>
          <c:showLegendKey val="0"/>
          <c:showVal val="0"/>
          <c:showCatName val="0"/>
          <c:showSerName val="0"/>
          <c:showPercent val="0"/>
          <c:showBubbleSize val="0"/>
        </c:dLbls>
        <c:gapWidth val="150"/>
        <c:overlap val="100"/>
        <c:axId val="264626816"/>
        <c:axId val="169697936"/>
      </c:barChart>
      <c:catAx>
        <c:axId val="264626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97936"/>
        <c:crosses val="autoZero"/>
        <c:auto val="1"/>
        <c:lblAlgn val="ctr"/>
        <c:lblOffset val="100"/>
        <c:noMultiLvlLbl val="0"/>
      </c:catAx>
      <c:valAx>
        <c:axId val="1696979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62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[ShadowFox_Intermediate_Project.xlsx]Analysis &amp; Pivots!PivotTable3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Regional Revenue vs.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&amp; Pivots'!$M$1</c:f>
              <c:strCache>
                <c:ptCount val="1"/>
                <c:pt idx="0">
                  <c:v>Sum of TOTAL REVENUE</c:v>
                </c:pt>
              </c:strCache>
            </c:strRef>
          </c:tx>
          <c:spPr>
            <a:solidFill>
              <a:schemeClr val="accent1"/>
            </a:solidFill>
            <a:ln>
              <a:noFill/>
            </a:ln>
            <a:effectLst/>
          </c:spPr>
          <c:invertIfNegative val="0"/>
          <c:cat>
            <c:strRef>
              <c:f>'Analysis &amp; Pivots'!$L$2:$L$4</c:f>
              <c:strCache>
                <c:ptCount val="2"/>
                <c:pt idx="0">
                  <c:v>Oct 2026</c:v>
                </c:pt>
                <c:pt idx="1">
                  <c:v>Sep 2026</c:v>
                </c:pt>
              </c:strCache>
            </c:strRef>
          </c:cat>
          <c:val>
            <c:numRef>
              <c:f>'Analysis &amp; Pivots'!$M$2:$M$4</c:f>
              <c:numCache>
                <c:formatCode>General</c:formatCode>
                <c:ptCount val="2"/>
                <c:pt idx="0">
                  <c:v>3013000</c:v>
                </c:pt>
                <c:pt idx="1">
                  <c:v>34000</c:v>
                </c:pt>
              </c:numCache>
            </c:numRef>
          </c:val>
          <c:extLst>
            <c:ext xmlns:c16="http://schemas.microsoft.com/office/drawing/2014/chart" uri="{C3380CC4-5D6E-409C-BE32-E72D297353CC}">
              <c16:uniqueId val="{00000000-C73E-4BFB-82B3-D67663144D65}"/>
            </c:ext>
          </c:extLst>
        </c:ser>
        <c:ser>
          <c:idx val="1"/>
          <c:order val="1"/>
          <c:tx>
            <c:strRef>
              <c:f>'Analysis &amp; Pivots'!$N$1</c:f>
              <c:strCache>
                <c:ptCount val="1"/>
                <c:pt idx="0">
                  <c:v>Sum of TOTAL PROFIT</c:v>
                </c:pt>
              </c:strCache>
            </c:strRef>
          </c:tx>
          <c:spPr>
            <a:solidFill>
              <a:schemeClr val="accent2"/>
            </a:solidFill>
            <a:ln>
              <a:noFill/>
            </a:ln>
            <a:effectLst/>
          </c:spPr>
          <c:invertIfNegative val="0"/>
          <c:cat>
            <c:strRef>
              <c:f>'Analysis &amp; Pivots'!$L$2:$L$4</c:f>
              <c:strCache>
                <c:ptCount val="2"/>
                <c:pt idx="0">
                  <c:v>Oct 2026</c:v>
                </c:pt>
                <c:pt idx="1">
                  <c:v>Sep 2026</c:v>
                </c:pt>
              </c:strCache>
            </c:strRef>
          </c:cat>
          <c:val>
            <c:numRef>
              <c:f>'Analysis &amp; Pivots'!$N$2:$N$4</c:f>
              <c:numCache>
                <c:formatCode>General</c:formatCode>
                <c:ptCount val="2"/>
                <c:pt idx="0">
                  <c:v>2765200</c:v>
                </c:pt>
                <c:pt idx="1">
                  <c:v>13600</c:v>
                </c:pt>
              </c:numCache>
            </c:numRef>
          </c:val>
          <c:extLst>
            <c:ext xmlns:c16="http://schemas.microsoft.com/office/drawing/2014/chart" uri="{C3380CC4-5D6E-409C-BE32-E72D297353CC}">
              <c16:uniqueId val="{00000001-C73E-4BFB-82B3-D67663144D65}"/>
            </c:ext>
          </c:extLst>
        </c:ser>
        <c:dLbls>
          <c:showLegendKey val="0"/>
          <c:showVal val="0"/>
          <c:showCatName val="0"/>
          <c:showSerName val="0"/>
          <c:showPercent val="0"/>
          <c:showBubbleSize val="0"/>
        </c:dLbls>
        <c:gapWidth val="182"/>
        <c:axId val="2078590240"/>
        <c:axId val="169736336"/>
      </c:barChart>
      <c:catAx>
        <c:axId val="2078590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36336"/>
        <c:crosses val="autoZero"/>
        <c:auto val="1"/>
        <c:lblAlgn val="ctr"/>
        <c:lblOffset val="100"/>
        <c:noMultiLvlLbl val="0"/>
      </c:catAx>
      <c:valAx>
        <c:axId val="169736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59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502920</xdr:colOff>
      <xdr:row>1</xdr:row>
      <xdr:rowOff>106680</xdr:rowOff>
    </xdr:from>
    <xdr:to>
      <xdr:col>8</xdr:col>
      <xdr:colOff>198120</xdr:colOff>
      <xdr:row>16</xdr:row>
      <xdr:rowOff>106680</xdr:rowOff>
    </xdr:to>
    <xdr:graphicFrame macro="">
      <xdr:nvGraphicFramePr>
        <xdr:cNvPr id="2" name="Chart 1">
          <a:extLst>
            <a:ext uri="{FF2B5EF4-FFF2-40B4-BE49-F238E27FC236}">
              <a16:creationId xmlns:a16="http://schemas.microsoft.com/office/drawing/2014/main" id="{37117B42-5EC2-4CA2-8008-38C741951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381000</xdr:colOff>
      <xdr:row>18</xdr:row>
      <xdr:rowOff>62347</xdr:rowOff>
    </xdr:from>
    <xdr:to>
      <xdr:col>19</xdr:col>
      <xdr:colOff>234142</xdr:colOff>
      <xdr:row>33</xdr:row>
      <xdr:rowOff>62347</xdr:rowOff>
    </xdr:to>
    <xdr:graphicFrame macro="">
      <xdr:nvGraphicFramePr>
        <xdr:cNvPr id="3" name="Chart 2">
          <a:extLst>
            <a:ext uri="{FF2B5EF4-FFF2-40B4-BE49-F238E27FC236}">
              <a16:creationId xmlns:a16="http://schemas.microsoft.com/office/drawing/2014/main" id="{2D412189-E3B1-4F3A-849A-4A022BE0A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564919</xdr:colOff>
      <xdr:row>18</xdr:row>
      <xdr:rowOff>49530</xdr:rowOff>
    </xdr:from>
    <xdr:to>
      <xdr:col>9</xdr:col>
      <xdr:colOff>285750</xdr:colOff>
      <xdr:row>33</xdr:row>
      <xdr:rowOff>49529</xdr:rowOff>
    </xdr:to>
    <xdr:graphicFrame macro="">
      <xdr:nvGraphicFramePr>
        <xdr:cNvPr id="5" name="Chart 4">
          <a:extLst>
            <a:ext uri="{FF2B5EF4-FFF2-40B4-BE49-F238E27FC236}">
              <a16:creationId xmlns:a16="http://schemas.microsoft.com/office/drawing/2014/main" id="{1767B9C2-4B07-49D1-BFD9-1C13A2DAE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367145</xdr:colOff>
      <xdr:row>3</xdr:row>
      <xdr:rowOff>66847</xdr:rowOff>
    </xdr:from>
    <xdr:to>
      <xdr:col>15</xdr:col>
      <xdr:colOff>367145</xdr:colOff>
      <xdr:row>17</xdr:row>
      <xdr:rowOff>87802</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9729E82A-1A10-41AB-FEF8-7FCD0B6A50C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40781" y="612370"/>
              <a:ext cx="1818409" cy="2566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19049</xdr:colOff>
      <xdr:row>3</xdr:row>
      <xdr:rowOff>72390</xdr:rowOff>
    </xdr:from>
    <xdr:to>
      <xdr:col>19</xdr:col>
      <xdr:colOff>19050</xdr:colOff>
      <xdr:row>17</xdr:row>
      <xdr:rowOff>92306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1192F9B6-261B-A9BF-851C-9502C265B0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717231" y="617913"/>
              <a:ext cx="1818410" cy="2565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594706</xdr:colOff>
      <xdr:row>3</xdr:row>
      <xdr:rowOff>64770</xdr:rowOff>
    </xdr:from>
    <xdr:to>
      <xdr:col>11</xdr:col>
      <xdr:colOff>594706</xdr:colOff>
      <xdr:row>17</xdr:row>
      <xdr:rowOff>85725</xdr:rowOff>
    </xdr:to>
    <mc:AlternateContent xmlns:mc="http://schemas.openxmlformats.org/markup-compatibility/2006" xmlns:a14="http://schemas.microsoft.com/office/drawing/2010/main">
      <mc:Choice Requires="a14">
        <xdr:graphicFrame macro="">
          <xdr:nvGraphicFramePr>
            <xdr:cNvPr id="8" name="MARGIN PERFORMANCE">
              <a:extLst>
                <a:ext uri="{FF2B5EF4-FFF2-40B4-BE49-F238E27FC236}">
                  <a16:creationId xmlns:a16="http://schemas.microsoft.com/office/drawing/2014/main" id="{79E4F59D-9337-C263-05E9-1521644895B8}"/>
                </a:ext>
              </a:extLst>
            </xdr:cNvPr>
            <xdr:cNvGraphicFramePr/>
          </xdr:nvGraphicFramePr>
          <xdr:xfrm>
            <a:off x="0" y="0"/>
            <a:ext cx="0" cy="0"/>
          </xdr:xfrm>
          <a:graphic>
            <a:graphicData uri="http://schemas.microsoft.com/office/drawing/2010/slicer">
              <sle:slicer xmlns:sle="http://schemas.microsoft.com/office/drawing/2010/slicer" name="MARGIN PERFORMANCE"/>
            </a:graphicData>
          </a:graphic>
        </xdr:graphicFrame>
      </mc:Choice>
      <mc:Fallback xmlns="">
        <xdr:sp macro="" textlink="">
          <xdr:nvSpPr>
            <xdr:cNvPr id="0" name=""/>
            <xdr:cNvSpPr>
              <a:spLocks noTextEdit="1"/>
            </xdr:cNvSpPr>
          </xdr:nvSpPr>
          <xdr:spPr>
            <a:xfrm>
              <a:off x="5443797" y="610293"/>
              <a:ext cx="1818409" cy="2566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31213</xdr:colOff>
      <xdr:row>35</xdr:row>
      <xdr:rowOff>94042</xdr:rowOff>
    </xdr:from>
    <xdr:to>
      <xdr:col>19</xdr:col>
      <xdr:colOff>218289</xdr:colOff>
      <xdr:row>50</xdr:row>
      <xdr:rowOff>120020</xdr:rowOff>
    </xdr:to>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0BB593F6-4644-C8C4-3233-BC943017546D}"/>
                </a:ext>
              </a:extLst>
            </xdr:cNvPr>
            <xdr:cNvSpPr txBox="1"/>
          </xdr:nvSpPr>
          <xdr:spPr>
            <a:xfrm>
              <a:off x="642585" y="6606484"/>
              <a:ext cx="11191774" cy="2817024"/>
            </a:xfrm>
            <a:prstGeom prst="rect">
              <a:avLst/>
            </a:prstGeom>
            <a:solidFill>
              <a:schemeClr val="bg2">
                <a:lumMod val="90000"/>
              </a:schemeClr>
            </a:solidFill>
            <a:ln w="9525" cmpd="sng">
              <a:solidFill>
                <a:schemeClr val="bg2">
                  <a:lumMod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dk1"/>
                  </a:solidFill>
                  <a:effectLst/>
                  <a:latin typeface="+mn-lt"/>
                  <a:ea typeface="+mn-ea"/>
                  <a:cs typeface="+mn-cs"/>
                </a:rPr>
                <a:t>EXECUTIVE FINDINGS &amp; STRATEGIC RECOMMENDATIONS</a:t>
              </a:r>
              <a:endParaRPr lang="en-IN" sz="1600">
                <a:solidFill>
                  <a:schemeClr val="dk1"/>
                </a:solidFill>
                <a:effectLst/>
                <a:latin typeface="+mn-lt"/>
                <a:ea typeface="+mn-ea"/>
                <a:cs typeface="+mn-cs"/>
              </a:endParaRPr>
            </a:p>
            <a:p>
              <a:pPr lvl="0"/>
              <a:r>
                <a:rPr lang="en-IN" sz="1200" b="1">
                  <a:solidFill>
                    <a:schemeClr val="dk1"/>
                  </a:solidFill>
                  <a:effectLst/>
                  <a:latin typeface="+mn-lt"/>
                  <a:ea typeface="+mn-ea"/>
                  <a:cs typeface="+mn-cs"/>
                </a:rPr>
                <a:t>Core Revenue Engine (Electronics):</a:t>
              </a:r>
              <a:endParaRPr lang="en-IN" sz="1200">
                <a:solidFill>
                  <a:schemeClr val="dk1"/>
                </a:solidFill>
                <a:effectLst/>
                <a:latin typeface="+mn-lt"/>
                <a:ea typeface="+mn-ea"/>
                <a:cs typeface="+mn-cs"/>
              </a:endParaRPr>
            </a:p>
            <a:p>
              <a:pPr lvl="1"/>
              <a:r>
                <a:rPr lang="en-IN" sz="1100">
                  <a:solidFill>
                    <a:schemeClr val="dk1"/>
                  </a:solidFill>
                  <a:effectLst/>
                  <a:latin typeface="+mn-lt"/>
                  <a:ea typeface="+mn-ea"/>
                  <a:cs typeface="+mn-cs"/>
                </a:rPr>
                <a:t>Electronics drives over </a:t>
              </a:r>
              <a:r>
                <a:rPr lang="en-IN" sz="1100" b="1">
                  <a:solidFill>
                    <a:schemeClr val="dk1"/>
                  </a:solidFill>
                  <a:effectLst/>
                  <a:latin typeface="+mn-lt"/>
                  <a:ea typeface="+mn-ea"/>
                  <a:cs typeface="+mn-cs"/>
                </a:rPr>
                <a:t>75% of overall business revenue</a:t>
              </a:r>
              <a:r>
                <a:rPr lang="en-IN" sz="1100">
                  <a:solidFill>
                    <a:schemeClr val="dk1"/>
                  </a:solidFill>
                  <a:effectLst/>
                  <a:latin typeface="+mn-lt"/>
                  <a:ea typeface="+mn-ea"/>
                  <a:cs typeface="+mn-cs"/>
                </a:rPr>
                <a:t> and </a:t>
              </a:r>
              <a:r>
                <a:rPr lang="en-IN" sz="1100" b="1">
                  <a:solidFill>
                    <a:schemeClr val="dk1"/>
                  </a:solidFill>
                  <a:effectLst/>
                  <a:latin typeface="+mn-lt"/>
                  <a:ea typeface="+mn-ea"/>
                  <a:cs typeface="+mn-cs"/>
                </a:rPr>
                <a:t>86% of total profit</a:t>
              </a:r>
              <a:r>
                <a:rPr lang="en-IN" sz="1100">
                  <a:solidFill>
                    <a:schemeClr val="dk1"/>
                  </a:solidFill>
                  <a:effectLst/>
                  <a:latin typeface="+mn-lt"/>
                  <a:ea typeface="+mn-ea"/>
                  <a:cs typeface="+mn-cs"/>
                </a:rPr>
                <a:t>.</a:t>
              </a:r>
            </a:p>
            <a:p>
              <a:pPr lvl="1"/>
              <a:r>
                <a:rPr lang="en-IN" sz="1100" i="1">
                  <a:solidFill>
                    <a:schemeClr val="dk1"/>
                  </a:solidFill>
                  <a:effectLst/>
                  <a:latin typeface="+mn-lt"/>
                  <a:ea typeface="+mn-ea"/>
                  <a:cs typeface="+mn-cs"/>
                </a:rPr>
                <a:t>Recommendation:</a:t>
              </a:r>
              <a:r>
                <a:rPr lang="en-IN" sz="1100">
                  <a:solidFill>
                    <a:schemeClr val="dk1"/>
                  </a:solidFill>
                  <a:effectLst/>
                  <a:latin typeface="+mn-lt"/>
                  <a:ea typeface="+mn-ea"/>
                  <a:cs typeface="+mn-cs"/>
                </a:rPr>
                <a:t> Maintain high inventory levels for top-performing electronics (Laptops, Washing Machines, Desktop PCs) to prevent stockouts.</a:t>
              </a:r>
            </a:p>
            <a:p>
              <a:pPr lvl="0"/>
              <a:r>
                <a:rPr lang="en-IN" sz="1200" b="1">
                  <a:solidFill>
                    <a:schemeClr val="dk1"/>
                  </a:solidFill>
                  <a:effectLst/>
                  <a:latin typeface="+mn-lt"/>
                  <a:ea typeface="+mn-ea"/>
                  <a:cs typeface="+mn-cs"/>
                </a:rPr>
                <a:t>Regional Performance &amp; Margin Disparities:</a:t>
              </a:r>
              <a:endParaRPr lang="en-IN" sz="1200">
                <a:solidFill>
                  <a:schemeClr val="dk1"/>
                </a:solidFill>
                <a:effectLst/>
                <a:latin typeface="+mn-lt"/>
                <a:ea typeface="+mn-ea"/>
                <a:cs typeface="+mn-cs"/>
              </a:endParaRPr>
            </a:p>
            <a:p>
              <a:pPr lvl="1"/>
              <a:r>
                <a:rPr lang="en-IN" sz="1100">
                  <a:solidFill>
                    <a:schemeClr val="dk1"/>
                  </a:solidFill>
                  <a:effectLst/>
                  <a:latin typeface="+mn-lt"/>
                  <a:ea typeface="+mn-ea"/>
                  <a:cs typeface="+mn-cs"/>
                </a:rPr>
                <a:t>The </a:t>
              </a:r>
              <a:r>
                <a:rPr lang="en-IN" sz="1100" b="1">
                  <a:solidFill>
                    <a:schemeClr val="dk1"/>
                  </a:solidFill>
                  <a:effectLst/>
                  <a:latin typeface="+mn-lt"/>
                  <a:ea typeface="+mn-ea"/>
                  <a:cs typeface="+mn-cs"/>
                </a:rPr>
                <a:t>West Region</a:t>
              </a:r>
              <a:r>
                <a:rPr lang="en-IN" sz="1100">
                  <a:solidFill>
                    <a:schemeClr val="dk1"/>
                  </a:solidFill>
                  <a:effectLst/>
                  <a:latin typeface="+mn-lt"/>
                  <a:ea typeface="+mn-ea"/>
                  <a:cs typeface="+mn-cs"/>
                </a:rPr>
                <a:t> achieves the highest profit margin (</a:t>
              </a:r>
              <a:r>
                <a:rPr lang="en-IN" sz="1100" b="1">
                  <a:solidFill>
                    <a:schemeClr val="dk1"/>
                  </a:solidFill>
                  <a:effectLst/>
                  <a:latin typeface="+mn-lt"/>
                  <a:ea typeface="+mn-ea"/>
                  <a:cs typeface="+mn-cs"/>
                </a:rPr>
                <a:t>64.9%</a:t>
              </a:r>
              <a:r>
                <a:rPr lang="en-IN" sz="1100">
                  <a:solidFill>
                    <a:schemeClr val="dk1"/>
                  </a:solidFill>
                  <a:effectLst/>
                  <a:latin typeface="+mn-lt"/>
                  <a:ea typeface="+mn-ea"/>
                  <a:cs typeface="+mn-cs"/>
                </a:rPr>
                <a:t>), whereas the </a:t>
              </a:r>
              <a:r>
                <a:rPr lang="en-IN" sz="1100" b="1">
                  <a:solidFill>
                    <a:schemeClr val="dk1"/>
                  </a:solidFill>
                  <a:effectLst/>
                  <a:latin typeface="+mn-lt"/>
                  <a:ea typeface="+mn-ea"/>
                  <a:cs typeface="+mn-cs"/>
                </a:rPr>
                <a:t>East Region</a:t>
              </a:r>
              <a:r>
                <a:rPr lang="en-IN" sz="1100">
                  <a:solidFill>
                    <a:schemeClr val="dk1"/>
                  </a:solidFill>
                  <a:effectLst/>
                  <a:latin typeface="+mn-lt"/>
                  <a:ea typeface="+mn-ea"/>
                  <a:cs typeface="+mn-cs"/>
                </a:rPr>
                <a:t> generates high gross revenue but suffers lower net margins due to elevated underlying costs.</a:t>
              </a:r>
            </a:p>
            <a:p>
              <a:pPr lvl="1"/>
              <a:r>
                <a:rPr lang="en-IN" sz="1100" i="1">
                  <a:solidFill>
                    <a:schemeClr val="dk1"/>
                  </a:solidFill>
                  <a:effectLst/>
                  <a:latin typeface="+mn-lt"/>
                  <a:ea typeface="+mn-ea"/>
                  <a:cs typeface="+mn-cs"/>
                </a:rPr>
                <a:t>Recommendation:</a:t>
              </a:r>
              <a:r>
                <a:rPr lang="en-IN" sz="1100">
                  <a:solidFill>
                    <a:schemeClr val="dk1"/>
                  </a:solidFill>
                  <a:effectLst/>
                  <a:latin typeface="+mn-lt"/>
                  <a:ea typeface="+mn-ea"/>
                  <a:cs typeface="+mn-cs"/>
                </a:rPr>
                <a:t> Replicate the high-margin product mix and pricing strategy of the West region across East and South operations.</a:t>
              </a:r>
            </a:p>
            <a:p>
              <a:pPr lvl="0"/>
              <a:r>
                <a:rPr lang="en-IN" sz="1200" b="1">
                  <a:solidFill>
                    <a:schemeClr val="dk1"/>
                  </a:solidFill>
                  <a:effectLst/>
                  <a:latin typeface="+mn-lt"/>
                  <a:ea typeface="+mn-ea"/>
                  <a:cs typeface="+mn-cs"/>
                </a:rPr>
                <a:t>Order Value Segmentation:</a:t>
              </a:r>
              <a:endParaRPr lang="en-IN" sz="1200">
                <a:solidFill>
                  <a:schemeClr val="dk1"/>
                </a:solidFill>
                <a:effectLst/>
                <a:latin typeface="+mn-lt"/>
                <a:ea typeface="+mn-ea"/>
                <a:cs typeface="+mn-cs"/>
              </a:endParaRPr>
            </a:p>
            <a:p>
              <a:pPr lvl="1"/>
              <a:r>
                <a:rPr lang="en-IN" sz="1100">
                  <a:solidFill>
                    <a:schemeClr val="dk1"/>
                  </a:solidFill>
                  <a:effectLst/>
                  <a:latin typeface="+mn-lt"/>
                  <a:ea typeface="+mn-ea"/>
                  <a:cs typeface="+mn-cs"/>
                </a:rPr>
                <a:t>High-Value orders (</a:t>
              </a:r>
              <a14:m>
                <m:oMath xmlns:m="http://schemas.openxmlformats.org/officeDocument/2006/math">
                  <m:r>
                    <a:rPr lang="en-IN" sz="1100">
                      <a:solidFill>
                        <a:schemeClr val="dk1"/>
                      </a:solidFill>
                      <a:latin typeface="+mn-lt"/>
                      <a:ea typeface="+mn-ea"/>
                      <a:cs typeface="+mn-cs"/>
                    </a:rPr>
                    <m:t>≥</m:t>
                  </m:r>
                </m:oMath>
              </a14:m>
              <a:r>
                <a:rPr lang="en-IN" sz="1100">
                  <a:solidFill>
                    <a:schemeClr val="dk1"/>
                  </a:solidFill>
                  <a:effectLst/>
                  <a:latin typeface="+mn-lt"/>
                  <a:ea typeface="+mn-ea"/>
                  <a:cs typeface="+mn-cs"/>
                </a:rPr>
                <a:t> ₹500,000) account for the overwhelming majority of bottom-line profit.</a:t>
              </a:r>
            </a:p>
            <a:p>
              <a:pPr lvl="1"/>
              <a:r>
                <a:rPr lang="en-IN" sz="1100">
                  <a:solidFill>
                    <a:schemeClr val="dk1"/>
                  </a:solidFill>
                  <a:effectLst/>
                  <a:latin typeface="+mn-lt"/>
                  <a:ea typeface="+mn-ea"/>
                  <a:cs typeface="+mn-cs"/>
                </a:rPr>
                <a:t>Low-Value items like Accessories (Mouse, USB Cables) show high unit volume (194 units) but contribute under 6% to total revenue.</a:t>
              </a:r>
            </a:p>
            <a:p>
              <a:pPr lvl="1"/>
              <a:r>
                <a:rPr lang="en-IN" sz="1100" i="1">
                  <a:solidFill>
                    <a:schemeClr val="dk1"/>
                  </a:solidFill>
                  <a:effectLst/>
                  <a:latin typeface="+mn-lt"/>
                  <a:ea typeface="+mn-ea"/>
                  <a:cs typeface="+mn-cs"/>
                </a:rPr>
                <a:t>Recommendation:</a:t>
              </a:r>
              <a:r>
                <a:rPr lang="en-IN" sz="1100">
                  <a:solidFill>
                    <a:schemeClr val="dk1"/>
                  </a:solidFill>
                  <a:effectLst/>
                  <a:latin typeface="+mn-lt"/>
                  <a:ea typeface="+mn-ea"/>
                  <a:cs typeface="+mn-cs"/>
                </a:rPr>
                <a:t> Package low-margin accessories as bundled add-ons during high-ticket hardware checkouts to improve overall order values.</a:t>
              </a:r>
            </a:p>
            <a:p>
              <a:pPr lvl="0"/>
              <a:r>
                <a:rPr lang="en-IN" sz="1200" b="1">
                  <a:solidFill>
                    <a:schemeClr val="dk1"/>
                  </a:solidFill>
                  <a:effectLst/>
                  <a:latin typeface="+mn-lt"/>
                  <a:ea typeface="+mn-ea"/>
                  <a:cs typeface="+mn-cs"/>
                </a:rPr>
                <a:t>Month-over-Month Sales Momentum:</a:t>
              </a:r>
              <a:endParaRPr lang="en-IN" sz="1200">
                <a:solidFill>
                  <a:schemeClr val="dk1"/>
                </a:solidFill>
                <a:effectLst/>
                <a:latin typeface="+mn-lt"/>
                <a:ea typeface="+mn-ea"/>
                <a:cs typeface="+mn-cs"/>
              </a:endParaRPr>
            </a:p>
            <a:p>
              <a:pPr lvl="1"/>
              <a:r>
                <a:rPr lang="en-IN" sz="1100">
                  <a:solidFill>
                    <a:schemeClr val="dk1"/>
                  </a:solidFill>
                  <a:effectLst/>
                  <a:latin typeface="+mn-lt"/>
                  <a:ea typeface="+mn-ea"/>
                  <a:cs typeface="+mn-cs"/>
                </a:rPr>
                <a:t>Total revenue expanded from </a:t>
              </a:r>
              <a:r>
                <a:rPr lang="en-IN" sz="1100" b="1">
                  <a:solidFill>
                    <a:schemeClr val="dk1"/>
                  </a:solidFill>
                  <a:effectLst/>
                  <a:latin typeface="+mn-lt"/>
                  <a:ea typeface="+mn-ea"/>
                  <a:cs typeface="+mn-cs"/>
                </a:rPr>
                <a:t>₹4.53M in September 2026</a:t>
              </a:r>
              <a:r>
                <a:rPr lang="en-IN" sz="1100">
                  <a:solidFill>
                    <a:schemeClr val="dk1"/>
                  </a:solidFill>
                  <a:effectLst/>
                  <a:latin typeface="+mn-lt"/>
                  <a:ea typeface="+mn-ea"/>
                  <a:cs typeface="+mn-cs"/>
                </a:rPr>
                <a:t> to </a:t>
              </a:r>
              <a:r>
                <a:rPr lang="en-IN" sz="1100" b="1">
                  <a:solidFill>
                    <a:schemeClr val="dk1"/>
                  </a:solidFill>
                  <a:effectLst/>
                  <a:latin typeface="+mn-lt"/>
                  <a:ea typeface="+mn-ea"/>
                  <a:cs typeface="+mn-cs"/>
                </a:rPr>
                <a:t>₹5.90M in October 2026</a:t>
              </a:r>
              <a:r>
                <a:rPr lang="en-IN" sz="1100">
                  <a:solidFill>
                    <a:schemeClr val="dk1"/>
                  </a:solidFill>
                  <a:effectLst/>
                  <a:latin typeface="+mn-lt"/>
                  <a:ea typeface="+mn-ea"/>
                  <a:cs typeface="+mn-cs"/>
                </a:rPr>
                <a:t> (</a:t>
              </a:r>
              <a:r>
                <a:rPr lang="en-IN" sz="1100" b="1">
                  <a:solidFill>
                    <a:schemeClr val="dk1"/>
                  </a:solidFill>
                  <a:effectLst/>
                  <a:latin typeface="+mn-lt"/>
                  <a:ea typeface="+mn-ea"/>
                  <a:cs typeface="+mn-cs"/>
                </a:rPr>
                <a:t>+30.1% MoM growth</a:t>
              </a:r>
              <a:r>
                <a:rPr lang="en-IN" sz="1100">
                  <a:solidFill>
                    <a:schemeClr val="dk1"/>
                  </a:solidFill>
                  <a:effectLst/>
                  <a:latin typeface="+mn-lt"/>
                  <a:ea typeface="+mn-ea"/>
                  <a:cs typeface="+mn-cs"/>
                </a:rPr>
                <a:t>), showing strong demand acceleration entering Q4.</a:t>
              </a:r>
            </a:p>
            <a:p>
              <a:endParaRPr lang="en-IN" sz="1100"/>
            </a:p>
          </xdr:txBody>
        </xdr:sp>
      </mc:Choice>
      <mc:Fallback>
        <xdr:sp macro="" textlink="">
          <xdr:nvSpPr>
            <xdr:cNvPr id="4" name="TextBox 3">
              <a:extLst>
                <a:ext uri="{FF2B5EF4-FFF2-40B4-BE49-F238E27FC236}">
                  <a16:creationId xmlns:a16="http://schemas.microsoft.com/office/drawing/2014/main" id="{0BB593F6-4644-C8C4-3233-BC943017546D}"/>
                </a:ext>
              </a:extLst>
            </xdr:cNvPr>
            <xdr:cNvSpPr txBox="1"/>
          </xdr:nvSpPr>
          <xdr:spPr>
            <a:xfrm>
              <a:off x="642585" y="6606484"/>
              <a:ext cx="11191774" cy="2817024"/>
            </a:xfrm>
            <a:prstGeom prst="rect">
              <a:avLst/>
            </a:prstGeom>
            <a:solidFill>
              <a:schemeClr val="bg2">
                <a:lumMod val="90000"/>
              </a:schemeClr>
            </a:solidFill>
            <a:ln w="9525" cmpd="sng">
              <a:solidFill>
                <a:schemeClr val="bg2">
                  <a:lumMod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dk1"/>
                  </a:solidFill>
                  <a:effectLst/>
                  <a:latin typeface="+mn-lt"/>
                  <a:ea typeface="+mn-ea"/>
                  <a:cs typeface="+mn-cs"/>
                </a:rPr>
                <a:t>EXECUTIVE FINDINGS &amp; STRATEGIC RECOMMENDATIONS</a:t>
              </a:r>
              <a:endParaRPr lang="en-IN" sz="1600">
                <a:solidFill>
                  <a:schemeClr val="dk1"/>
                </a:solidFill>
                <a:effectLst/>
                <a:latin typeface="+mn-lt"/>
                <a:ea typeface="+mn-ea"/>
                <a:cs typeface="+mn-cs"/>
              </a:endParaRPr>
            </a:p>
            <a:p>
              <a:pPr lvl="0"/>
              <a:r>
                <a:rPr lang="en-IN" sz="1200" b="1">
                  <a:solidFill>
                    <a:schemeClr val="dk1"/>
                  </a:solidFill>
                  <a:effectLst/>
                  <a:latin typeface="+mn-lt"/>
                  <a:ea typeface="+mn-ea"/>
                  <a:cs typeface="+mn-cs"/>
                </a:rPr>
                <a:t>Core Revenue Engine (Electronics):</a:t>
              </a:r>
              <a:endParaRPr lang="en-IN" sz="1200">
                <a:solidFill>
                  <a:schemeClr val="dk1"/>
                </a:solidFill>
                <a:effectLst/>
                <a:latin typeface="+mn-lt"/>
                <a:ea typeface="+mn-ea"/>
                <a:cs typeface="+mn-cs"/>
              </a:endParaRPr>
            </a:p>
            <a:p>
              <a:pPr lvl="1"/>
              <a:r>
                <a:rPr lang="en-IN" sz="1100">
                  <a:solidFill>
                    <a:schemeClr val="dk1"/>
                  </a:solidFill>
                  <a:effectLst/>
                  <a:latin typeface="+mn-lt"/>
                  <a:ea typeface="+mn-ea"/>
                  <a:cs typeface="+mn-cs"/>
                </a:rPr>
                <a:t>Electronics drives over </a:t>
              </a:r>
              <a:r>
                <a:rPr lang="en-IN" sz="1100" b="1">
                  <a:solidFill>
                    <a:schemeClr val="dk1"/>
                  </a:solidFill>
                  <a:effectLst/>
                  <a:latin typeface="+mn-lt"/>
                  <a:ea typeface="+mn-ea"/>
                  <a:cs typeface="+mn-cs"/>
                </a:rPr>
                <a:t>75% of overall business revenue</a:t>
              </a:r>
              <a:r>
                <a:rPr lang="en-IN" sz="1100">
                  <a:solidFill>
                    <a:schemeClr val="dk1"/>
                  </a:solidFill>
                  <a:effectLst/>
                  <a:latin typeface="+mn-lt"/>
                  <a:ea typeface="+mn-ea"/>
                  <a:cs typeface="+mn-cs"/>
                </a:rPr>
                <a:t> and </a:t>
              </a:r>
              <a:r>
                <a:rPr lang="en-IN" sz="1100" b="1">
                  <a:solidFill>
                    <a:schemeClr val="dk1"/>
                  </a:solidFill>
                  <a:effectLst/>
                  <a:latin typeface="+mn-lt"/>
                  <a:ea typeface="+mn-ea"/>
                  <a:cs typeface="+mn-cs"/>
                </a:rPr>
                <a:t>86% of total profit</a:t>
              </a:r>
              <a:r>
                <a:rPr lang="en-IN" sz="1100">
                  <a:solidFill>
                    <a:schemeClr val="dk1"/>
                  </a:solidFill>
                  <a:effectLst/>
                  <a:latin typeface="+mn-lt"/>
                  <a:ea typeface="+mn-ea"/>
                  <a:cs typeface="+mn-cs"/>
                </a:rPr>
                <a:t>.</a:t>
              </a:r>
            </a:p>
            <a:p>
              <a:pPr lvl="1"/>
              <a:r>
                <a:rPr lang="en-IN" sz="1100" i="1">
                  <a:solidFill>
                    <a:schemeClr val="dk1"/>
                  </a:solidFill>
                  <a:effectLst/>
                  <a:latin typeface="+mn-lt"/>
                  <a:ea typeface="+mn-ea"/>
                  <a:cs typeface="+mn-cs"/>
                </a:rPr>
                <a:t>Recommendation:</a:t>
              </a:r>
              <a:r>
                <a:rPr lang="en-IN" sz="1100">
                  <a:solidFill>
                    <a:schemeClr val="dk1"/>
                  </a:solidFill>
                  <a:effectLst/>
                  <a:latin typeface="+mn-lt"/>
                  <a:ea typeface="+mn-ea"/>
                  <a:cs typeface="+mn-cs"/>
                </a:rPr>
                <a:t> Maintain high inventory levels for top-performing electronics (Laptops, Washing Machines, Desktop PCs) to prevent stockouts.</a:t>
              </a:r>
            </a:p>
            <a:p>
              <a:pPr lvl="0"/>
              <a:r>
                <a:rPr lang="en-IN" sz="1200" b="1">
                  <a:solidFill>
                    <a:schemeClr val="dk1"/>
                  </a:solidFill>
                  <a:effectLst/>
                  <a:latin typeface="+mn-lt"/>
                  <a:ea typeface="+mn-ea"/>
                  <a:cs typeface="+mn-cs"/>
                </a:rPr>
                <a:t>Regional Performance &amp; Margin Disparities:</a:t>
              </a:r>
              <a:endParaRPr lang="en-IN" sz="1200">
                <a:solidFill>
                  <a:schemeClr val="dk1"/>
                </a:solidFill>
                <a:effectLst/>
                <a:latin typeface="+mn-lt"/>
                <a:ea typeface="+mn-ea"/>
                <a:cs typeface="+mn-cs"/>
              </a:endParaRPr>
            </a:p>
            <a:p>
              <a:pPr lvl="1"/>
              <a:r>
                <a:rPr lang="en-IN" sz="1100">
                  <a:solidFill>
                    <a:schemeClr val="dk1"/>
                  </a:solidFill>
                  <a:effectLst/>
                  <a:latin typeface="+mn-lt"/>
                  <a:ea typeface="+mn-ea"/>
                  <a:cs typeface="+mn-cs"/>
                </a:rPr>
                <a:t>The </a:t>
              </a:r>
              <a:r>
                <a:rPr lang="en-IN" sz="1100" b="1">
                  <a:solidFill>
                    <a:schemeClr val="dk1"/>
                  </a:solidFill>
                  <a:effectLst/>
                  <a:latin typeface="+mn-lt"/>
                  <a:ea typeface="+mn-ea"/>
                  <a:cs typeface="+mn-cs"/>
                </a:rPr>
                <a:t>West Region</a:t>
              </a:r>
              <a:r>
                <a:rPr lang="en-IN" sz="1100">
                  <a:solidFill>
                    <a:schemeClr val="dk1"/>
                  </a:solidFill>
                  <a:effectLst/>
                  <a:latin typeface="+mn-lt"/>
                  <a:ea typeface="+mn-ea"/>
                  <a:cs typeface="+mn-cs"/>
                </a:rPr>
                <a:t> achieves the highest profit margin (</a:t>
              </a:r>
              <a:r>
                <a:rPr lang="en-IN" sz="1100" b="1">
                  <a:solidFill>
                    <a:schemeClr val="dk1"/>
                  </a:solidFill>
                  <a:effectLst/>
                  <a:latin typeface="+mn-lt"/>
                  <a:ea typeface="+mn-ea"/>
                  <a:cs typeface="+mn-cs"/>
                </a:rPr>
                <a:t>64.9%</a:t>
              </a:r>
              <a:r>
                <a:rPr lang="en-IN" sz="1100">
                  <a:solidFill>
                    <a:schemeClr val="dk1"/>
                  </a:solidFill>
                  <a:effectLst/>
                  <a:latin typeface="+mn-lt"/>
                  <a:ea typeface="+mn-ea"/>
                  <a:cs typeface="+mn-cs"/>
                </a:rPr>
                <a:t>), whereas the </a:t>
              </a:r>
              <a:r>
                <a:rPr lang="en-IN" sz="1100" b="1">
                  <a:solidFill>
                    <a:schemeClr val="dk1"/>
                  </a:solidFill>
                  <a:effectLst/>
                  <a:latin typeface="+mn-lt"/>
                  <a:ea typeface="+mn-ea"/>
                  <a:cs typeface="+mn-cs"/>
                </a:rPr>
                <a:t>East Region</a:t>
              </a:r>
              <a:r>
                <a:rPr lang="en-IN" sz="1100">
                  <a:solidFill>
                    <a:schemeClr val="dk1"/>
                  </a:solidFill>
                  <a:effectLst/>
                  <a:latin typeface="+mn-lt"/>
                  <a:ea typeface="+mn-ea"/>
                  <a:cs typeface="+mn-cs"/>
                </a:rPr>
                <a:t> generates high gross revenue but suffers lower net margins due to elevated underlying costs.</a:t>
              </a:r>
            </a:p>
            <a:p>
              <a:pPr lvl="1"/>
              <a:r>
                <a:rPr lang="en-IN" sz="1100" i="1">
                  <a:solidFill>
                    <a:schemeClr val="dk1"/>
                  </a:solidFill>
                  <a:effectLst/>
                  <a:latin typeface="+mn-lt"/>
                  <a:ea typeface="+mn-ea"/>
                  <a:cs typeface="+mn-cs"/>
                </a:rPr>
                <a:t>Recommendation:</a:t>
              </a:r>
              <a:r>
                <a:rPr lang="en-IN" sz="1100">
                  <a:solidFill>
                    <a:schemeClr val="dk1"/>
                  </a:solidFill>
                  <a:effectLst/>
                  <a:latin typeface="+mn-lt"/>
                  <a:ea typeface="+mn-ea"/>
                  <a:cs typeface="+mn-cs"/>
                </a:rPr>
                <a:t> Replicate the high-margin product mix and pricing strategy of the West region across East and South operations.</a:t>
              </a:r>
            </a:p>
            <a:p>
              <a:pPr lvl="0"/>
              <a:r>
                <a:rPr lang="en-IN" sz="1200" b="1">
                  <a:solidFill>
                    <a:schemeClr val="dk1"/>
                  </a:solidFill>
                  <a:effectLst/>
                  <a:latin typeface="+mn-lt"/>
                  <a:ea typeface="+mn-ea"/>
                  <a:cs typeface="+mn-cs"/>
                </a:rPr>
                <a:t>Order Value Segmentation:</a:t>
              </a:r>
              <a:endParaRPr lang="en-IN" sz="1200">
                <a:solidFill>
                  <a:schemeClr val="dk1"/>
                </a:solidFill>
                <a:effectLst/>
                <a:latin typeface="+mn-lt"/>
                <a:ea typeface="+mn-ea"/>
                <a:cs typeface="+mn-cs"/>
              </a:endParaRPr>
            </a:p>
            <a:p>
              <a:pPr lvl="1"/>
              <a:r>
                <a:rPr lang="en-IN" sz="1100">
                  <a:solidFill>
                    <a:schemeClr val="dk1"/>
                  </a:solidFill>
                  <a:effectLst/>
                  <a:latin typeface="+mn-lt"/>
                  <a:ea typeface="+mn-ea"/>
                  <a:cs typeface="+mn-cs"/>
                </a:rPr>
                <a:t>High-Value orders (</a:t>
              </a:r>
              <a:r>
                <a:rPr lang="en-IN" sz="1100" i="0">
                  <a:solidFill>
                    <a:schemeClr val="dk1"/>
                  </a:solidFill>
                  <a:latin typeface="+mn-lt"/>
                  <a:ea typeface="+mn-ea"/>
                  <a:cs typeface="+mn-cs"/>
                </a:rPr>
                <a:t>≥</a:t>
              </a:r>
              <a:r>
                <a:rPr lang="en-IN" sz="1100">
                  <a:solidFill>
                    <a:schemeClr val="dk1"/>
                  </a:solidFill>
                  <a:effectLst/>
                  <a:latin typeface="+mn-lt"/>
                  <a:ea typeface="+mn-ea"/>
                  <a:cs typeface="+mn-cs"/>
                </a:rPr>
                <a:t> ₹500,000) account for the overwhelming majority of bottom-line profit.</a:t>
              </a:r>
            </a:p>
            <a:p>
              <a:pPr lvl="1"/>
              <a:r>
                <a:rPr lang="en-IN" sz="1100">
                  <a:solidFill>
                    <a:schemeClr val="dk1"/>
                  </a:solidFill>
                  <a:effectLst/>
                  <a:latin typeface="+mn-lt"/>
                  <a:ea typeface="+mn-ea"/>
                  <a:cs typeface="+mn-cs"/>
                </a:rPr>
                <a:t>Low-Value items like Accessories (Mouse, USB Cables) show high unit volume (194 units) but contribute under 6% to total revenue.</a:t>
              </a:r>
            </a:p>
            <a:p>
              <a:pPr lvl="1"/>
              <a:r>
                <a:rPr lang="en-IN" sz="1100" i="1">
                  <a:solidFill>
                    <a:schemeClr val="dk1"/>
                  </a:solidFill>
                  <a:effectLst/>
                  <a:latin typeface="+mn-lt"/>
                  <a:ea typeface="+mn-ea"/>
                  <a:cs typeface="+mn-cs"/>
                </a:rPr>
                <a:t>Recommendation:</a:t>
              </a:r>
              <a:r>
                <a:rPr lang="en-IN" sz="1100">
                  <a:solidFill>
                    <a:schemeClr val="dk1"/>
                  </a:solidFill>
                  <a:effectLst/>
                  <a:latin typeface="+mn-lt"/>
                  <a:ea typeface="+mn-ea"/>
                  <a:cs typeface="+mn-cs"/>
                </a:rPr>
                <a:t> Package low-margin accessories as bundled add-ons during high-ticket hardware checkouts to improve overall order values.</a:t>
              </a:r>
            </a:p>
            <a:p>
              <a:pPr lvl="0"/>
              <a:r>
                <a:rPr lang="en-IN" sz="1200" b="1">
                  <a:solidFill>
                    <a:schemeClr val="dk1"/>
                  </a:solidFill>
                  <a:effectLst/>
                  <a:latin typeface="+mn-lt"/>
                  <a:ea typeface="+mn-ea"/>
                  <a:cs typeface="+mn-cs"/>
                </a:rPr>
                <a:t>Month-over-Month Sales Momentum:</a:t>
              </a:r>
              <a:endParaRPr lang="en-IN" sz="1200">
                <a:solidFill>
                  <a:schemeClr val="dk1"/>
                </a:solidFill>
                <a:effectLst/>
                <a:latin typeface="+mn-lt"/>
                <a:ea typeface="+mn-ea"/>
                <a:cs typeface="+mn-cs"/>
              </a:endParaRPr>
            </a:p>
            <a:p>
              <a:pPr lvl="1"/>
              <a:r>
                <a:rPr lang="en-IN" sz="1100">
                  <a:solidFill>
                    <a:schemeClr val="dk1"/>
                  </a:solidFill>
                  <a:effectLst/>
                  <a:latin typeface="+mn-lt"/>
                  <a:ea typeface="+mn-ea"/>
                  <a:cs typeface="+mn-cs"/>
                </a:rPr>
                <a:t>Total revenue expanded from </a:t>
              </a:r>
              <a:r>
                <a:rPr lang="en-IN" sz="1100" b="1">
                  <a:solidFill>
                    <a:schemeClr val="dk1"/>
                  </a:solidFill>
                  <a:effectLst/>
                  <a:latin typeface="+mn-lt"/>
                  <a:ea typeface="+mn-ea"/>
                  <a:cs typeface="+mn-cs"/>
                </a:rPr>
                <a:t>₹4.53M in September 2026</a:t>
              </a:r>
              <a:r>
                <a:rPr lang="en-IN" sz="1100">
                  <a:solidFill>
                    <a:schemeClr val="dk1"/>
                  </a:solidFill>
                  <a:effectLst/>
                  <a:latin typeface="+mn-lt"/>
                  <a:ea typeface="+mn-ea"/>
                  <a:cs typeface="+mn-cs"/>
                </a:rPr>
                <a:t> to </a:t>
              </a:r>
              <a:r>
                <a:rPr lang="en-IN" sz="1100" b="1">
                  <a:solidFill>
                    <a:schemeClr val="dk1"/>
                  </a:solidFill>
                  <a:effectLst/>
                  <a:latin typeface="+mn-lt"/>
                  <a:ea typeface="+mn-ea"/>
                  <a:cs typeface="+mn-cs"/>
                </a:rPr>
                <a:t>₹5.90M in October 2026</a:t>
              </a:r>
              <a:r>
                <a:rPr lang="en-IN" sz="1100">
                  <a:solidFill>
                    <a:schemeClr val="dk1"/>
                  </a:solidFill>
                  <a:effectLst/>
                  <a:latin typeface="+mn-lt"/>
                  <a:ea typeface="+mn-ea"/>
                  <a:cs typeface="+mn-cs"/>
                </a:rPr>
                <a:t> (</a:t>
              </a:r>
              <a:r>
                <a:rPr lang="en-IN" sz="1100" b="1">
                  <a:solidFill>
                    <a:schemeClr val="dk1"/>
                  </a:solidFill>
                  <a:effectLst/>
                  <a:latin typeface="+mn-lt"/>
                  <a:ea typeface="+mn-ea"/>
                  <a:cs typeface="+mn-cs"/>
                </a:rPr>
                <a:t>+30.1% MoM growth</a:t>
              </a:r>
              <a:r>
                <a:rPr lang="en-IN" sz="1100">
                  <a:solidFill>
                    <a:schemeClr val="dk1"/>
                  </a:solidFill>
                  <a:effectLst/>
                  <a:latin typeface="+mn-lt"/>
                  <a:ea typeface="+mn-ea"/>
                  <a:cs typeface="+mn-cs"/>
                </a:rPr>
                <a:t>), showing strong demand acceleration entering Q4.</a:t>
              </a:r>
            </a:p>
            <a:p>
              <a:endParaRPr lang="en-IN" sz="1100"/>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ya Swarup Sahoo" refreshedDate="46289.517179282404" createdVersion="8" refreshedVersion="8" minRefreshableVersion="3" recordCount="60" xr:uid="{210F92A2-5BF1-4C03-9120-4F08CB7EA79C}">
  <cacheSource type="worksheet">
    <worksheetSource ref="A1:P61" sheet="Cleaned Data"/>
  </cacheSource>
  <cacheFields count="16">
    <cacheField name="ORDER ID" numFmtId="0">
      <sharedItems containsSemiMixedTypes="0" containsString="0" containsNumber="1" containsInteger="1" minValue="1" maxValue="60"/>
    </cacheField>
    <cacheField name="DATE" numFmtId="14">
      <sharedItems containsSemiMixedTypes="0" containsNonDate="0" containsDate="1" containsString="0" minDate="2026-09-01T00:00:00" maxDate="2026-10-31T00:00:00"/>
    </cacheField>
    <cacheField name="PRODUCT" numFmtId="0">
      <sharedItems/>
    </cacheField>
    <cacheField name="CATEGORY" numFmtId="0">
      <sharedItems count="3">
        <s v="ELECTRONICS"/>
        <s v="FURNITURE"/>
        <s v="ACCESSORIES"/>
      </sharedItems>
    </cacheField>
    <cacheField name="REGION" numFmtId="0">
      <sharedItems count="5">
        <s v="EAST"/>
        <s v="WEST"/>
        <s v="NORTH"/>
        <s v="SOUTH"/>
        <s v="NORTH "/>
      </sharedItems>
    </cacheField>
    <cacheField name="QUANTITY" numFmtId="2">
      <sharedItems containsSemiMixedTypes="0" containsString="0" containsNumber="1" containsInteger="1" minValue="3" maxValue="19"/>
    </cacheField>
    <cacheField name="COST PRICE" numFmtId="164">
      <sharedItems containsSemiMixedTypes="0" containsString="0" containsNumber="1" containsInteger="1" minValue="250" maxValue="55000"/>
    </cacheField>
    <cacheField name="SALES PRICE" numFmtId="164">
      <sharedItems containsSemiMixedTypes="0" containsString="0" containsNumber="1" containsInteger="1" minValue="300" maxValue="250000"/>
    </cacheField>
    <cacheField name="PROFIT" numFmtId="164">
      <sharedItems containsSemiMixedTypes="0" containsString="0" containsNumber="1" containsInteger="1" minValue="50" maxValue="230000"/>
    </cacheField>
    <cacheField name="TOTAL REVENUE" numFmtId="164">
      <sharedItems containsSemiMixedTypes="0" containsString="0" containsNumber="1" containsInteger="1" minValue="1500" maxValue="3000000"/>
    </cacheField>
    <cacheField name="TOTAL COST" numFmtId="164">
      <sharedItems containsSemiMixedTypes="0" containsString="0" containsNumber="1" containsInteger="1" minValue="1250" maxValue="605000"/>
    </cacheField>
    <cacheField name="TOTAL PROFIT" numFmtId="164">
      <sharedItems containsSemiMixedTypes="0" containsString="0" containsNumber="1" containsInteger="1" minValue="250" maxValue="2760000"/>
    </cacheField>
    <cacheField name="PROFIT MARGIN %" numFmtId="10">
      <sharedItems containsSemiMixedTypes="0" containsString="0" containsNumber="1" minValue="3.0769230769230771E-2" maxValue="0.92"/>
    </cacheField>
    <cacheField name="MONTH - YEAR" numFmtId="0">
      <sharedItems count="2">
        <s v="Sep 2026"/>
        <s v="Oct 2026"/>
      </sharedItems>
    </cacheField>
    <cacheField name="ORDER VALUE TIER" numFmtId="0">
      <sharedItems count="3">
        <s v="Medium Value"/>
        <s v="Low Value"/>
        <s v="High Value"/>
      </sharedItems>
    </cacheField>
    <cacheField name="MARGIN PERFORMANCE" numFmtId="0">
      <sharedItems count="3">
        <s v="Low Margin"/>
        <s v="Moderate Margin"/>
        <s v="High Margin"/>
      </sharedItems>
    </cacheField>
  </cacheFields>
  <extLst>
    <ext xmlns:x14="http://schemas.microsoft.com/office/spreadsheetml/2009/9/main" uri="{725AE2AE-9491-48be-B2B4-4EB974FC3084}">
      <x14:pivotCacheDefinition pivotCacheId="12285380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n v="1"/>
    <d v="2026-09-01T00:00:00"/>
    <s v="LAPTOP"/>
    <x v="0"/>
    <x v="0"/>
    <n v="5"/>
    <n v="44000"/>
    <n v="52000"/>
    <n v="8000"/>
    <n v="260000"/>
    <n v="220000"/>
    <n v="40000"/>
    <n v="0.15384615384615385"/>
    <x v="0"/>
    <x v="0"/>
    <x v="0"/>
  </r>
  <r>
    <n v="2"/>
    <d v="2026-09-02T00:00:00"/>
    <s v="KEYBOARD"/>
    <x v="0"/>
    <x v="1"/>
    <n v="7"/>
    <n v="1500"/>
    <n v="2200"/>
    <n v="700"/>
    <n v="15400"/>
    <n v="10500"/>
    <n v="4900"/>
    <n v="0.31818181818181818"/>
    <x v="0"/>
    <x v="1"/>
    <x v="1"/>
  </r>
  <r>
    <n v="3"/>
    <d v="2026-09-03T00:00:00"/>
    <s v="MOUSE"/>
    <x v="0"/>
    <x v="1"/>
    <n v="12"/>
    <n v="1200"/>
    <n v="2000"/>
    <n v="800"/>
    <n v="24000"/>
    <n v="14400"/>
    <n v="9600"/>
    <n v="0.4"/>
    <x v="0"/>
    <x v="1"/>
    <x v="2"/>
  </r>
  <r>
    <n v="4"/>
    <d v="2026-09-04T00:00:00"/>
    <s v="BED"/>
    <x v="1"/>
    <x v="2"/>
    <n v="8"/>
    <n v="20000"/>
    <n v="25000"/>
    <n v="5000"/>
    <n v="200000"/>
    <n v="160000"/>
    <n v="40000"/>
    <n v="0.2"/>
    <x v="0"/>
    <x v="0"/>
    <x v="1"/>
  </r>
  <r>
    <n v="5"/>
    <d v="2026-09-05T00:00:00"/>
    <s v="SOFA"/>
    <x v="1"/>
    <x v="3"/>
    <n v="15"/>
    <n v="25000"/>
    <n v="30000"/>
    <n v="5000"/>
    <n v="450000"/>
    <n v="375000"/>
    <n v="75000"/>
    <n v="0.16666666666666666"/>
    <x v="0"/>
    <x v="2"/>
    <x v="0"/>
  </r>
  <r>
    <n v="6"/>
    <d v="2026-09-06T00:00:00"/>
    <s v="OFFICE CHAIR"/>
    <x v="1"/>
    <x v="2"/>
    <n v="3"/>
    <n v="3000"/>
    <n v="3800"/>
    <n v="800"/>
    <n v="11400"/>
    <n v="9000"/>
    <n v="2400"/>
    <n v="0.21052631578947367"/>
    <x v="0"/>
    <x v="1"/>
    <x v="1"/>
  </r>
  <r>
    <n v="7"/>
    <d v="2026-09-07T00:00:00"/>
    <s v="POWER BANK"/>
    <x v="2"/>
    <x v="0"/>
    <n v="7"/>
    <n v="1800"/>
    <n v="2500"/>
    <n v="700"/>
    <n v="17500"/>
    <n v="12600"/>
    <n v="4900"/>
    <n v="0.28000000000000003"/>
    <x v="0"/>
    <x v="1"/>
    <x v="1"/>
  </r>
  <r>
    <n v="8"/>
    <d v="2026-09-08T00:00:00"/>
    <s v="PENDRIVE"/>
    <x v="2"/>
    <x v="0"/>
    <n v="9"/>
    <n v="1500"/>
    <n v="2300"/>
    <n v="800"/>
    <n v="20700"/>
    <n v="13500"/>
    <n v="7200"/>
    <n v="0.34782608695652173"/>
    <x v="0"/>
    <x v="1"/>
    <x v="1"/>
  </r>
  <r>
    <n v="9"/>
    <d v="2026-09-09T00:00:00"/>
    <s v="LAPTOP CHARGER"/>
    <x v="2"/>
    <x v="3"/>
    <n v="5"/>
    <n v="1200"/>
    <n v="2000"/>
    <n v="800"/>
    <n v="10000"/>
    <n v="6000"/>
    <n v="4000"/>
    <n v="0.4"/>
    <x v="0"/>
    <x v="1"/>
    <x v="2"/>
  </r>
  <r>
    <n v="10"/>
    <d v="2026-09-10T00:00:00"/>
    <s v="PRINTER"/>
    <x v="0"/>
    <x v="4"/>
    <n v="14"/>
    <n v="25000"/>
    <n v="35000"/>
    <n v="10000"/>
    <n v="490000"/>
    <n v="350000"/>
    <n v="140000"/>
    <n v="0.2857142857142857"/>
    <x v="0"/>
    <x v="2"/>
    <x v="1"/>
  </r>
  <r>
    <n v="11"/>
    <d v="2026-09-11T00:00:00"/>
    <s v="SCANNER"/>
    <x v="0"/>
    <x v="0"/>
    <n v="6"/>
    <n v="28000"/>
    <n v="35000"/>
    <n v="7000"/>
    <n v="210000"/>
    <n v="168000"/>
    <n v="42000"/>
    <n v="0.2"/>
    <x v="0"/>
    <x v="0"/>
    <x v="1"/>
  </r>
  <r>
    <n v="12"/>
    <d v="2026-09-12T00:00:00"/>
    <s v="OFFICE TABLE"/>
    <x v="1"/>
    <x v="1"/>
    <n v="12"/>
    <n v="4800"/>
    <n v="5500"/>
    <n v="700"/>
    <n v="66000"/>
    <n v="57600"/>
    <n v="8400"/>
    <n v="0.12727272727272726"/>
    <x v="0"/>
    <x v="1"/>
    <x v="0"/>
  </r>
  <r>
    <n v="13"/>
    <d v="2026-09-13T00:00:00"/>
    <s v="BOOKSHELF"/>
    <x v="1"/>
    <x v="3"/>
    <n v="18"/>
    <n v="1200"/>
    <n v="1800"/>
    <n v="600"/>
    <n v="32400"/>
    <n v="21600"/>
    <n v="10800"/>
    <n v="0.33333333333333331"/>
    <x v="0"/>
    <x v="1"/>
    <x v="1"/>
  </r>
  <r>
    <n v="14"/>
    <d v="2026-09-14T00:00:00"/>
    <s v="USB CABLE"/>
    <x v="2"/>
    <x v="3"/>
    <n v="9"/>
    <n v="1800"/>
    <n v="2200"/>
    <n v="400"/>
    <n v="19800"/>
    <n v="16200"/>
    <n v="3600"/>
    <n v="0.18181818181818182"/>
    <x v="0"/>
    <x v="1"/>
    <x v="0"/>
  </r>
  <r>
    <n v="15"/>
    <d v="2026-09-15T00:00:00"/>
    <s v="HDMI CABLE"/>
    <x v="2"/>
    <x v="0"/>
    <n v="7"/>
    <n v="1600"/>
    <n v="2000"/>
    <n v="400"/>
    <n v="14000"/>
    <n v="11200"/>
    <n v="2800"/>
    <n v="0.2"/>
    <x v="0"/>
    <x v="1"/>
    <x v="1"/>
  </r>
  <r>
    <n v="16"/>
    <d v="2026-09-16T00:00:00"/>
    <s v="DESKTOP COMPUTER"/>
    <x v="0"/>
    <x v="2"/>
    <n v="11"/>
    <n v="55000"/>
    <n v="64000"/>
    <n v="9000"/>
    <n v="704000"/>
    <n v="605000"/>
    <n v="99000"/>
    <n v="0.140625"/>
    <x v="0"/>
    <x v="2"/>
    <x v="0"/>
  </r>
  <r>
    <n v="17"/>
    <d v="2026-09-17T00:00:00"/>
    <s v="MONITOR"/>
    <x v="0"/>
    <x v="1"/>
    <n v="4"/>
    <n v="48000"/>
    <n v="55000"/>
    <n v="7000"/>
    <n v="220000"/>
    <n v="192000"/>
    <n v="28000"/>
    <n v="0.12727272727272726"/>
    <x v="0"/>
    <x v="0"/>
    <x v="0"/>
  </r>
  <r>
    <n v="18"/>
    <d v="2026-09-18T00:00:00"/>
    <s v="TABLET"/>
    <x v="0"/>
    <x v="1"/>
    <n v="6"/>
    <n v="37000"/>
    <n v="42000"/>
    <n v="5000"/>
    <n v="252000"/>
    <n v="222000"/>
    <n v="30000"/>
    <n v="0.11904761904761904"/>
    <x v="0"/>
    <x v="0"/>
    <x v="0"/>
  </r>
  <r>
    <n v="19"/>
    <d v="2026-09-19T00:00:00"/>
    <s v="EXECUTIVE CHAIR"/>
    <x v="1"/>
    <x v="3"/>
    <n v="7"/>
    <n v="1200"/>
    <n v="1500"/>
    <n v="300"/>
    <n v="10500"/>
    <n v="8400"/>
    <n v="2100"/>
    <n v="0.2"/>
    <x v="0"/>
    <x v="1"/>
    <x v="1"/>
  </r>
  <r>
    <n v="20"/>
    <d v="2026-09-20T00:00:00"/>
    <s v="COMPUTER CHAIR"/>
    <x v="1"/>
    <x v="0"/>
    <n v="15"/>
    <n v="1300"/>
    <n v="2000"/>
    <n v="700"/>
    <n v="30000"/>
    <n v="19500"/>
    <n v="10500"/>
    <n v="0.35"/>
    <x v="0"/>
    <x v="1"/>
    <x v="1"/>
  </r>
  <r>
    <n v="21"/>
    <d v="2026-09-21T00:00:00"/>
    <s v="TYPE-C CABLE"/>
    <x v="2"/>
    <x v="1"/>
    <n v="10"/>
    <n v="1100"/>
    <n v="1600"/>
    <n v="500"/>
    <n v="16000"/>
    <n v="11000"/>
    <n v="5000"/>
    <n v="0.3125"/>
    <x v="0"/>
    <x v="1"/>
    <x v="1"/>
  </r>
  <r>
    <n v="22"/>
    <d v="2026-09-22T00:00:00"/>
    <s v="STOOL"/>
    <x v="1"/>
    <x v="1"/>
    <n v="8"/>
    <n v="2700"/>
    <n v="3400"/>
    <n v="700"/>
    <n v="27200"/>
    <n v="21600"/>
    <n v="5600"/>
    <n v="0.20588235294117646"/>
    <x v="0"/>
    <x v="1"/>
    <x v="1"/>
  </r>
  <r>
    <n v="23"/>
    <d v="2026-09-23T00:00:00"/>
    <s v="MOBILE CHARGER"/>
    <x v="2"/>
    <x v="2"/>
    <n v="19"/>
    <n v="1800"/>
    <n v="2200"/>
    <n v="400"/>
    <n v="41800"/>
    <n v="34200"/>
    <n v="7600"/>
    <n v="0.18181818181818182"/>
    <x v="0"/>
    <x v="1"/>
    <x v="0"/>
  </r>
  <r>
    <n v="24"/>
    <d v="2026-09-24T00:00:00"/>
    <s v="DINING TABLE"/>
    <x v="1"/>
    <x v="0"/>
    <n v="3"/>
    <n v="23000"/>
    <n v="30000"/>
    <n v="7000"/>
    <n v="90000"/>
    <n v="69000"/>
    <n v="21000"/>
    <n v="0.23333333333333334"/>
    <x v="0"/>
    <x v="1"/>
    <x v="1"/>
  </r>
  <r>
    <n v="25"/>
    <d v="2026-09-25T00:00:00"/>
    <s v="STUDY TABLE"/>
    <x v="1"/>
    <x v="2"/>
    <n v="5"/>
    <n v="8000"/>
    <n v="10000"/>
    <n v="2000"/>
    <n v="50000"/>
    <n v="40000"/>
    <n v="10000"/>
    <n v="0.2"/>
    <x v="0"/>
    <x v="1"/>
    <x v="1"/>
  </r>
  <r>
    <n v="26"/>
    <d v="2026-09-26T00:00:00"/>
    <s v="USB HUB"/>
    <x v="2"/>
    <x v="0"/>
    <n v="9"/>
    <n v="15000"/>
    <n v="20000"/>
    <n v="5000"/>
    <n v="180000"/>
    <n v="135000"/>
    <n v="45000"/>
    <n v="0.25"/>
    <x v="0"/>
    <x v="0"/>
    <x v="1"/>
  </r>
  <r>
    <n v="27"/>
    <d v="2026-09-27T00:00:00"/>
    <s v="SMARTPHONE"/>
    <x v="0"/>
    <x v="3"/>
    <n v="17"/>
    <n v="33000"/>
    <n v="40000"/>
    <n v="7000"/>
    <n v="680000"/>
    <n v="561000"/>
    <n v="119000"/>
    <n v="0.17499999999999999"/>
    <x v="0"/>
    <x v="2"/>
    <x v="0"/>
  </r>
  <r>
    <n v="28"/>
    <d v="2026-09-28T00:00:00"/>
    <s v="SMARTWATCH"/>
    <x v="0"/>
    <x v="1"/>
    <n v="13"/>
    <n v="15000"/>
    <n v="20000"/>
    <n v="5000"/>
    <n v="260000"/>
    <n v="195000"/>
    <n v="65000"/>
    <n v="0.25"/>
    <x v="0"/>
    <x v="0"/>
    <x v="1"/>
  </r>
  <r>
    <n v="29"/>
    <d v="2026-09-29T00:00:00"/>
    <s v="FILLING CABINET"/>
    <x v="1"/>
    <x v="2"/>
    <n v="5"/>
    <n v="5000"/>
    <n v="7000"/>
    <n v="2000"/>
    <n v="35000"/>
    <n v="25000"/>
    <n v="10000"/>
    <n v="0.2857142857142857"/>
    <x v="0"/>
    <x v="1"/>
    <x v="1"/>
  </r>
  <r>
    <n v="30"/>
    <d v="2026-09-30T00:00:00"/>
    <s v="MEMORY CARD"/>
    <x v="2"/>
    <x v="2"/>
    <n v="12"/>
    <n v="7700"/>
    <n v="8000"/>
    <n v="300"/>
    <n v="96000"/>
    <n v="92400"/>
    <n v="3600"/>
    <n v="3.7499999999999999E-2"/>
    <x v="0"/>
    <x v="1"/>
    <x v="0"/>
  </r>
  <r>
    <n v="31"/>
    <d v="2026-10-01T00:00:00"/>
    <s v="COMPUTER TABLE"/>
    <x v="1"/>
    <x v="3"/>
    <n v="7"/>
    <n v="12000"/>
    <n v="15000"/>
    <n v="3000"/>
    <n v="105000"/>
    <n v="84000"/>
    <n v="21000"/>
    <n v="0.2"/>
    <x v="1"/>
    <x v="0"/>
    <x v="1"/>
  </r>
  <r>
    <n v="32"/>
    <d v="2026-10-02T00:00:00"/>
    <s v="LAPTOP BAG"/>
    <x v="2"/>
    <x v="3"/>
    <n v="6"/>
    <n v="4500"/>
    <n v="5000"/>
    <n v="500"/>
    <n v="30000"/>
    <n v="27000"/>
    <n v="3000"/>
    <n v="0.1"/>
    <x v="1"/>
    <x v="1"/>
    <x v="0"/>
  </r>
  <r>
    <n v="33"/>
    <d v="2026-10-03T00:00:00"/>
    <s v="TELEVISION"/>
    <x v="0"/>
    <x v="1"/>
    <n v="7"/>
    <n v="38000"/>
    <n v="47000"/>
    <n v="9000"/>
    <n v="329000"/>
    <n v="266000"/>
    <n v="63000"/>
    <n v="0.19148936170212766"/>
    <x v="1"/>
    <x v="2"/>
    <x v="0"/>
  </r>
  <r>
    <n v="34"/>
    <d v="2026-10-04T00:00:00"/>
    <s v="REFRIGERETOR"/>
    <x v="0"/>
    <x v="0"/>
    <n v="17"/>
    <n v="24000"/>
    <n v="28000"/>
    <n v="4000"/>
    <n v="476000"/>
    <n v="408000"/>
    <n v="68000"/>
    <n v="0.14285714285714285"/>
    <x v="1"/>
    <x v="2"/>
    <x v="0"/>
  </r>
  <r>
    <n v="35"/>
    <d v="2026-10-05T00:00:00"/>
    <s v="MOBILE COVER"/>
    <x v="2"/>
    <x v="2"/>
    <n v="15"/>
    <n v="1100"/>
    <n v="1500"/>
    <n v="400"/>
    <n v="22500"/>
    <n v="16500"/>
    <n v="6000"/>
    <n v="0.26666666666666666"/>
    <x v="1"/>
    <x v="1"/>
    <x v="1"/>
  </r>
  <r>
    <n v="36"/>
    <d v="2026-10-06T00:00:00"/>
    <s v="SCREEN PROTECTOR"/>
    <x v="2"/>
    <x v="3"/>
    <n v="8"/>
    <n v="2800"/>
    <n v="3000"/>
    <n v="200"/>
    <n v="24000"/>
    <n v="22400"/>
    <n v="1600"/>
    <n v="6.6666666666666666E-2"/>
    <x v="1"/>
    <x v="1"/>
    <x v="0"/>
  </r>
  <r>
    <n v="37"/>
    <d v="2026-10-07T00:00:00"/>
    <s v="WARDROBE"/>
    <x v="1"/>
    <x v="1"/>
    <n v="6"/>
    <n v="15000"/>
    <n v="20000"/>
    <n v="5000"/>
    <n v="120000"/>
    <n v="90000"/>
    <n v="30000"/>
    <n v="0.25"/>
    <x v="1"/>
    <x v="0"/>
    <x v="1"/>
  </r>
  <r>
    <n v="38"/>
    <d v="2026-10-08T00:00:00"/>
    <s v="COFFEE TABLE"/>
    <x v="1"/>
    <x v="0"/>
    <n v="4"/>
    <n v="13000"/>
    <n v="18000"/>
    <n v="5000"/>
    <n v="72000"/>
    <n v="52000"/>
    <n v="20000"/>
    <n v="0.27777777777777779"/>
    <x v="1"/>
    <x v="1"/>
    <x v="1"/>
  </r>
  <r>
    <n v="39"/>
    <d v="2026-10-09T00:00:00"/>
    <s v="MOUSE PAD"/>
    <x v="2"/>
    <x v="3"/>
    <n v="6"/>
    <n v="1200"/>
    <n v="1500"/>
    <n v="300"/>
    <n v="9000"/>
    <n v="7200"/>
    <n v="1800"/>
    <n v="0.2"/>
    <x v="1"/>
    <x v="1"/>
    <x v="1"/>
  </r>
  <r>
    <n v="40"/>
    <d v="2026-10-10T00:00:00"/>
    <s v="EARPHONES"/>
    <x v="0"/>
    <x v="2"/>
    <n v="8"/>
    <n v="1800"/>
    <n v="2200"/>
    <n v="400"/>
    <n v="17600"/>
    <n v="14400"/>
    <n v="3200"/>
    <n v="0.18181818181818182"/>
    <x v="1"/>
    <x v="1"/>
    <x v="0"/>
  </r>
  <r>
    <n v="41"/>
    <d v="2026-10-11T00:00:00"/>
    <s v="BLUETOOTH SPEAKER"/>
    <x v="0"/>
    <x v="2"/>
    <n v="5"/>
    <n v="2500"/>
    <n v="3000"/>
    <n v="500"/>
    <n v="15000"/>
    <n v="12500"/>
    <n v="2500"/>
    <n v="0.16666666666666666"/>
    <x v="1"/>
    <x v="1"/>
    <x v="0"/>
  </r>
  <r>
    <n v="42"/>
    <d v="2026-10-12T00:00:00"/>
    <s v="LAPTOP STAND"/>
    <x v="2"/>
    <x v="1"/>
    <n v="13"/>
    <n v="600"/>
    <n v="1000"/>
    <n v="400"/>
    <n v="13000"/>
    <n v="7800"/>
    <n v="5200"/>
    <n v="0.4"/>
    <x v="1"/>
    <x v="1"/>
    <x v="2"/>
  </r>
  <r>
    <n v="43"/>
    <d v="2026-10-13T00:00:00"/>
    <s v="COFEE TABLE"/>
    <x v="1"/>
    <x v="0"/>
    <n v="17"/>
    <n v="5000"/>
    <n v="7000"/>
    <n v="2000"/>
    <n v="119000"/>
    <n v="85000"/>
    <n v="34000"/>
    <n v="0.2857142857142857"/>
    <x v="1"/>
    <x v="0"/>
    <x v="1"/>
  </r>
  <r>
    <n v="44"/>
    <d v="2026-10-14T00:00:00"/>
    <s v="TV STAND "/>
    <x v="1"/>
    <x v="0"/>
    <n v="6"/>
    <n v="6000"/>
    <n v="9000"/>
    <n v="3000"/>
    <n v="54000"/>
    <n v="36000"/>
    <n v="18000"/>
    <n v="0.33333333333333331"/>
    <x v="1"/>
    <x v="1"/>
    <x v="1"/>
  </r>
  <r>
    <n v="45"/>
    <d v="2026-10-15T00:00:00"/>
    <s v="WEBCAM"/>
    <x v="2"/>
    <x v="3"/>
    <n v="9"/>
    <n v="1500"/>
    <n v="2000"/>
    <n v="500"/>
    <n v="18000"/>
    <n v="13500"/>
    <n v="4500"/>
    <n v="0.25"/>
    <x v="1"/>
    <x v="1"/>
    <x v="1"/>
  </r>
  <r>
    <n v="46"/>
    <d v="2026-10-16T00:00:00"/>
    <s v="WASHING MACHINE"/>
    <x v="0"/>
    <x v="1"/>
    <n v="12"/>
    <n v="20000"/>
    <n v="250000"/>
    <n v="230000"/>
    <n v="3000000"/>
    <n v="240000"/>
    <n v="2760000"/>
    <n v="0.92"/>
    <x v="1"/>
    <x v="2"/>
    <x v="2"/>
  </r>
  <r>
    <n v="47"/>
    <d v="2026-10-17T00:00:00"/>
    <s v="CABINET"/>
    <x v="1"/>
    <x v="1"/>
    <n v="7"/>
    <n v="7000"/>
    <n v="9000"/>
    <n v="2000"/>
    <n v="63000"/>
    <n v="49000"/>
    <n v="14000"/>
    <n v="0.22222222222222221"/>
    <x v="1"/>
    <x v="1"/>
    <x v="1"/>
  </r>
  <r>
    <n v="48"/>
    <d v="2026-10-18T00:00:00"/>
    <s v="COMPUTER SPEAKERS"/>
    <x v="2"/>
    <x v="0"/>
    <n v="6"/>
    <n v="6300"/>
    <n v="6500"/>
    <n v="200"/>
    <n v="39000"/>
    <n v="37800"/>
    <n v="1200"/>
    <n v="3.0769230769230771E-2"/>
    <x v="1"/>
    <x v="1"/>
    <x v="0"/>
  </r>
  <r>
    <n v="49"/>
    <d v="2026-10-19T00:00:00"/>
    <s v="MICROWAVE OVEN"/>
    <x v="0"/>
    <x v="3"/>
    <n v="14"/>
    <n v="8000"/>
    <n v="9000"/>
    <n v="1000"/>
    <n v="126000"/>
    <n v="112000"/>
    <n v="14000"/>
    <n v="0.1111111111111111"/>
    <x v="1"/>
    <x v="0"/>
    <x v="0"/>
  </r>
  <r>
    <n v="50"/>
    <d v="2026-10-20T00:00:00"/>
    <s v="WIRELESS MOUSE"/>
    <x v="2"/>
    <x v="3"/>
    <n v="11"/>
    <n v="1500"/>
    <n v="1800"/>
    <n v="300"/>
    <n v="19800"/>
    <n v="16500"/>
    <n v="3300"/>
    <n v="0.16666666666666666"/>
    <x v="1"/>
    <x v="1"/>
    <x v="0"/>
  </r>
  <r>
    <n v="51"/>
    <d v="2026-10-21T00:00:00"/>
    <s v="DRAWER UNIT"/>
    <x v="1"/>
    <x v="1"/>
    <n v="15"/>
    <n v="15000"/>
    <n v="20000"/>
    <n v="5000"/>
    <n v="300000"/>
    <n v="225000"/>
    <n v="75000"/>
    <n v="0.25"/>
    <x v="1"/>
    <x v="2"/>
    <x v="1"/>
  </r>
  <r>
    <n v="52"/>
    <d v="2026-10-22T00:00:00"/>
    <s v="AIR CONDITIONER"/>
    <x v="0"/>
    <x v="2"/>
    <n v="7"/>
    <n v="32000"/>
    <n v="35000"/>
    <n v="3000"/>
    <n v="245000"/>
    <n v="224000"/>
    <n v="21000"/>
    <n v="8.5714285714285715E-2"/>
    <x v="1"/>
    <x v="0"/>
    <x v="0"/>
  </r>
  <r>
    <n v="53"/>
    <d v="2026-10-23T00:00:00"/>
    <s v="AIR COOLER"/>
    <x v="0"/>
    <x v="2"/>
    <n v="6"/>
    <n v="17000"/>
    <n v="20000"/>
    <n v="3000"/>
    <n v="120000"/>
    <n v="102000"/>
    <n v="18000"/>
    <n v="0.15"/>
    <x v="1"/>
    <x v="0"/>
    <x v="0"/>
  </r>
  <r>
    <n v="54"/>
    <d v="2026-10-24T00:00:00"/>
    <s v="SPEAKER"/>
    <x v="0"/>
    <x v="0"/>
    <n v="9"/>
    <n v="2500"/>
    <n v="2800"/>
    <n v="300"/>
    <n v="25200"/>
    <n v="22500"/>
    <n v="2700"/>
    <n v="0.10714285714285714"/>
    <x v="1"/>
    <x v="1"/>
    <x v="0"/>
  </r>
  <r>
    <n v="55"/>
    <d v="2026-10-25T00:00:00"/>
    <s v="WIRELESS KEYBOARD"/>
    <x v="2"/>
    <x v="1"/>
    <n v="10"/>
    <n v="2700"/>
    <n v="3000"/>
    <n v="300"/>
    <n v="30000"/>
    <n v="27000"/>
    <n v="3000"/>
    <n v="0.1"/>
    <x v="1"/>
    <x v="1"/>
    <x v="0"/>
  </r>
  <r>
    <n v="56"/>
    <d v="2026-10-26T00:00:00"/>
    <s v="EXTENSION BOARD"/>
    <x v="2"/>
    <x v="0"/>
    <n v="5"/>
    <n v="250"/>
    <n v="300"/>
    <n v="50"/>
    <n v="1500"/>
    <n v="1250"/>
    <n v="250"/>
    <n v="0.16666666666666666"/>
    <x v="1"/>
    <x v="1"/>
    <x v="0"/>
  </r>
  <r>
    <n v="57"/>
    <d v="2026-10-27T00:00:00"/>
    <s v="RECEPTION DESK"/>
    <x v="1"/>
    <x v="1"/>
    <n v="8"/>
    <n v="7000"/>
    <n v="8000"/>
    <n v="1000"/>
    <n v="64000"/>
    <n v="56000"/>
    <n v="8000"/>
    <n v="0.125"/>
    <x v="1"/>
    <x v="1"/>
    <x v="0"/>
  </r>
  <r>
    <n v="58"/>
    <d v="2026-10-28T00:00:00"/>
    <s v="CONFERENCE TABLE"/>
    <x v="1"/>
    <x v="3"/>
    <n v="3"/>
    <n v="18000"/>
    <n v="19500"/>
    <n v="1500"/>
    <n v="58500"/>
    <n v="54000"/>
    <n v="4500"/>
    <n v="7.6923076923076927E-2"/>
    <x v="1"/>
    <x v="1"/>
    <x v="0"/>
  </r>
  <r>
    <n v="59"/>
    <d v="2026-10-29T00:00:00"/>
    <s v="SURGE PROTECTOR"/>
    <x v="2"/>
    <x v="2"/>
    <n v="18"/>
    <n v="300"/>
    <n v="450"/>
    <n v="150"/>
    <n v="8100"/>
    <n v="5400"/>
    <n v="2700"/>
    <n v="0.33333333333333331"/>
    <x v="1"/>
    <x v="1"/>
    <x v="1"/>
  </r>
  <r>
    <n v="60"/>
    <d v="2026-10-30T00:00:00"/>
    <s v="HEADPHONES"/>
    <x v="0"/>
    <x v="3"/>
    <n v="15"/>
    <n v="23000"/>
    <n v="25000"/>
    <n v="2000"/>
    <n v="375000"/>
    <n v="345000"/>
    <n v="30000"/>
    <n v="0.08"/>
    <x v="1"/>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5BB738-7689-4088-98EB-3C7A69C926E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C2" firstHeaderRow="0" firstDataRow="1" firstDataCol="1"/>
  <pivotFields count="16">
    <pivotField showAll="0"/>
    <pivotField numFmtId="14" showAll="0"/>
    <pivotField showAll="0"/>
    <pivotField axis="axisRow" showAll="0">
      <items count="4">
        <item x="2"/>
        <item h="1" x="0"/>
        <item h="1" x="1"/>
        <item t="default"/>
      </items>
    </pivotField>
    <pivotField showAll="0">
      <items count="6">
        <item x="0"/>
        <item h="1" x="2"/>
        <item h="1" x="4"/>
        <item h="1" x="3"/>
        <item h="1" x="1"/>
        <item t="default"/>
      </items>
    </pivotField>
    <pivotField numFmtId="2" showAll="0"/>
    <pivotField numFmtId="164" showAll="0"/>
    <pivotField numFmtId="164" showAll="0"/>
    <pivotField numFmtId="164" showAll="0"/>
    <pivotField dataField="1" numFmtId="164" showAll="0"/>
    <pivotField numFmtId="164" showAll="0"/>
    <pivotField numFmtId="164" showAll="0"/>
    <pivotField dataField="1" numFmtId="10" showAll="0"/>
    <pivotField showAll="0"/>
    <pivotField showAll="0"/>
    <pivotField showAll="0">
      <items count="4">
        <item x="2"/>
        <item h="1" x="0"/>
        <item h="1" x="1"/>
        <item t="default"/>
      </items>
    </pivotField>
  </pivotFields>
  <rowFields count="1">
    <field x="3"/>
  </rowFields>
  <rowItems count="1">
    <i t="grand">
      <x/>
    </i>
  </rowItems>
  <colFields count="1">
    <field x="-2"/>
  </colFields>
  <colItems count="2">
    <i>
      <x/>
    </i>
    <i i="1">
      <x v="1"/>
    </i>
  </colItems>
  <dataFields count="2">
    <dataField name="Sum of TOTAL REVENUE" fld="9" baseField="0" baseItem="0" numFmtId="164"/>
    <dataField name="Average of PROFIT MARGIN %" fld="12" subtotal="average" baseField="3" baseItem="1" numFmtId="1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9A59F5-0674-4688-A549-24E3C5395F2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1:N4" firstHeaderRow="0" firstDataRow="1" firstDataCol="1"/>
  <pivotFields count="16">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axis="axisRow" showAll="0">
      <items count="3">
        <item x="1"/>
        <item x="0"/>
        <item t="default"/>
      </items>
    </pivotField>
    <pivotField showAll="0"/>
    <pivotField showAll="0">
      <items count="4">
        <item x="2"/>
        <item h="1" x="0"/>
        <item h="1" x="1"/>
        <item t="default"/>
      </items>
    </pivotField>
  </pivotFields>
  <rowFields count="1">
    <field x="13"/>
  </rowFields>
  <rowItems count="3">
    <i>
      <x/>
    </i>
    <i>
      <x v="1"/>
    </i>
    <i t="grand">
      <x/>
    </i>
  </rowItems>
  <colFields count="1">
    <field x="-2"/>
  </colFields>
  <colItems count="2">
    <i>
      <x/>
    </i>
    <i i="1">
      <x v="1"/>
    </i>
  </colItems>
  <dataFields count="2">
    <dataField name="Sum of TOTAL REVENUE" fld="9" baseField="0" baseItem="0"/>
    <dataField name="Sum of TOTAL PROFIT" fld="11" baseField="0" baseItem="0"/>
  </dataFields>
  <chartFormats count="8">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30AA86-5FE3-48BE-8956-0D9539DD824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I5" firstHeaderRow="1" firstDataRow="2" firstDataCol="1"/>
  <pivotFields count="16">
    <pivotField dataField="1" showAll="0"/>
    <pivotField numFmtId="14" showAll="0"/>
    <pivotField showAll="0"/>
    <pivotField showAll="0"/>
    <pivotField axis="axisRow" showAll="0">
      <items count="6">
        <item x="0"/>
        <item x="2"/>
        <item x="4"/>
        <item x="3"/>
        <item x="1"/>
        <item t="default"/>
      </items>
    </pivotField>
    <pivotField numFmtId="2" showAll="0"/>
    <pivotField numFmtId="164" showAll="0"/>
    <pivotField numFmtId="164" showAll="0"/>
    <pivotField numFmtId="164" showAll="0"/>
    <pivotField numFmtId="164" showAll="0"/>
    <pivotField numFmtId="164" showAll="0"/>
    <pivotField numFmtId="164" showAll="0"/>
    <pivotField numFmtId="10" showAll="0"/>
    <pivotField showAll="0"/>
    <pivotField axis="axisCol" showAll="0">
      <items count="4">
        <item x="2"/>
        <item x="1"/>
        <item x="0"/>
        <item t="default"/>
      </items>
    </pivotField>
    <pivotField showAll="0">
      <items count="4">
        <item x="2"/>
        <item h="1" x="0"/>
        <item h="1" x="1"/>
        <item t="default"/>
      </items>
    </pivotField>
  </pivotFields>
  <rowFields count="1">
    <field x="4"/>
  </rowFields>
  <rowItems count="3">
    <i>
      <x v="3"/>
    </i>
    <i>
      <x v="4"/>
    </i>
    <i t="grand">
      <x/>
    </i>
  </rowItems>
  <colFields count="1">
    <field x="14"/>
  </colFields>
  <colItems count="3">
    <i>
      <x/>
    </i>
    <i>
      <x v="1"/>
    </i>
    <i t="grand">
      <x/>
    </i>
  </colItems>
  <dataFields count="1">
    <dataField name="Count of ORDER ID" fld="0" subtotal="count" baseField="4" baseItem="0"/>
  </dataField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3" format="6" series="1">
      <pivotArea type="data" outline="0" fieldPosition="0">
        <references count="2">
          <reference field="4294967294" count="1" selected="0">
            <x v="0"/>
          </reference>
          <reference field="14" count="1" selected="0">
            <x v="0"/>
          </reference>
        </references>
      </pivotArea>
    </chartFormat>
    <chartFormat chart="3" format="7" series="1">
      <pivotArea type="data" outline="0" fieldPosition="0">
        <references count="2">
          <reference field="4294967294" count="1" selected="0">
            <x v="0"/>
          </reference>
          <reference field="14" count="1" selected="0">
            <x v="1"/>
          </reference>
        </references>
      </pivotArea>
    </chartFormat>
    <chartFormat chart="3"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19EDCAC-2758-42B6-8EA0-2D2CEEBC273C}" sourceName="CATEGORY">
  <pivotTables>
    <pivotTable tabId="2" name="PivotTable1"/>
  </pivotTables>
  <data>
    <tabular pivotCacheId="1228538007">
      <items count="3">
        <i x="2" s="1" nd="1"/>
        <i x="0" nd="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10B7E7-C0A0-4C2B-9905-CCF4D26BF462}" sourceName="REGION">
  <pivotTables>
    <pivotTable tabId="2" name="PivotTable1"/>
  </pivotTables>
  <data>
    <tabular pivotCacheId="1228538007">
      <items count="5">
        <i x="3"/>
        <i x="1"/>
        <i x="0" s="1" nd="1"/>
        <i x="2" nd="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GIN_PERFORMANCE" xr10:uid="{0207DEDB-E113-4C21-BE0E-464B799659C1}" sourceName="MARGIN PERFORMANCE">
  <pivotTables>
    <pivotTable tabId="2" name="PivotTable1"/>
    <pivotTable tabId="2" name="PivotTable2"/>
    <pivotTable tabId="2" name="PivotTable3"/>
  </pivotTables>
  <data>
    <tabular pivotCacheId="1228538007">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0EB65A7-AD2F-4CAC-B654-E02544F18116}" cache="Slicer_CATEGORY" caption="CATEGORY" rowHeight="247650"/>
  <slicer name="REGION" xr10:uid="{F41F6D11-F192-4019-8B88-68CD54B0EC4E}" cache="Slicer_REGION" caption="REGION" rowHeight="247650"/>
  <slicer name="MARGIN PERFORMANCE" xr10:uid="{35C3A585-EB0C-4E07-BC1A-908DBA5E2388}" cache="Slicer_MARGIN_PERFORMANCE" caption="MARGIN PERFORMANC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B8993-68EE-472D-8BDB-29E92C8A4401}">
  <dimension ref="A1:P1048576"/>
  <sheetViews>
    <sheetView zoomScale="129" zoomScaleNormal="70" workbookViewId="0">
      <selection sqref="A1:P61"/>
    </sheetView>
  </sheetViews>
  <sheetFormatPr defaultRowHeight="14.4" x14ac:dyDescent="0.3"/>
  <cols>
    <col min="1" max="1" width="8.88671875" style="1"/>
    <col min="2" max="2" width="13.5546875" style="7" customWidth="1"/>
    <col min="3" max="3" width="19.5546875" style="1" customWidth="1"/>
    <col min="4" max="4" width="13" style="1" customWidth="1"/>
    <col min="5" max="5" width="11.5546875" style="1" customWidth="1"/>
    <col min="6" max="6" width="11.5546875" style="10" customWidth="1"/>
    <col min="7" max="8" width="16.6640625" style="13" customWidth="1"/>
    <col min="9" max="9" width="13.109375" style="13" customWidth="1"/>
    <col min="10" max="10" width="16.44140625" style="1" customWidth="1"/>
    <col min="11" max="11" width="15.5546875" style="1" customWidth="1"/>
    <col min="12" max="12" width="13.6640625" style="1" customWidth="1"/>
    <col min="13" max="13" width="17" style="14" customWidth="1"/>
    <col min="14" max="14" width="17.88671875" style="1" customWidth="1"/>
    <col min="15" max="15" width="17.21875" style="1" customWidth="1"/>
    <col min="16" max="16" width="23.5546875" style="1" customWidth="1"/>
    <col min="17" max="16384" width="8.88671875" style="1"/>
  </cols>
  <sheetData>
    <row r="1" spans="1:16" s="5" customFormat="1" x14ac:dyDescent="0.3">
      <c r="A1" s="2" t="s">
        <v>0</v>
      </c>
      <c r="B1" s="6" t="s">
        <v>1</v>
      </c>
      <c r="C1" s="2" t="s">
        <v>2</v>
      </c>
      <c r="D1" s="2" t="s">
        <v>3</v>
      </c>
      <c r="E1" s="2" t="s">
        <v>4</v>
      </c>
      <c r="F1" s="8" t="s">
        <v>73</v>
      </c>
      <c r="G1" s="11" t="s">
        <v>74</v>
      </c>
      <c r="H1" s="11" t="s">
        <v>75</v>
      </c>
      <c r="I1" s="11" t="s">
        <v>5</v>
      </c>
      <c r="J1" s="2" t="s">
        <v>77</v>
      </c>
      <c r="K1" s="2" t="s">
        <v>78</v>
      </c>
      <c r="L1" s="2" t="s">
        <v>79</v>
      </c>
      <c r="M1" s="15" t="s">
        <v>80</v>
      </c>
      <c r="N1" s="2" t="s">
        <v>81</v>
      </c>
      <c r="O1" s="2" t="s">
        <v>82</v>
      </c>
      <c r="P1" s="2" t="s">
        <v>83</v>
      </c>
    </row>
    <row r="2" spans="1:16" x14ac:dyDescent="0.3">
      <c r="A2" s="3" cm="1">
        <f t="array" ref="A2:A61">_xlfn.SEQUENCE(60)</f>
        <v>1</v>
      </c>
      <c r="B2" s="4">
        <v>46266</v>
      </c>
      <c r="C2" s="3" t="s">
        <v>6</v>
      </c>
      <c r="D2" s="3" t="s">
        <v>20</v>
      </c>
      <c r="E2" s="3" t="s">
        <v>68</v>
      </c>
      <c r="F2" s="9">
        <v>5</v>
      </c>
      <c r="G2" s="12">
        <v>44000</v>
      </c>
      <c r="H2" s="12">
        <v>52000</v>
      </c>
      <c r="I2" s="12">
        <f>(H2-G2 )</f>
        <v>8000</v>
      </c>
      <c r="J2" s="12">
        <f>F2*H2</f>
        <v>260000</v>
      </c>
      <c r="K2" s="12">
        <f>F2*G2</f>
        <v>220000</v>
      </c>
      <c r="L2" s="12">
        <f>F2*I2</f>
        <v>40000</v>
      </c>
      <c r="M2" s="16">
        <f>L2/J2</f>
        <v>0.15384615384615385</v>
      </c>
      <c r="N2" s="17" t="str">
        <f>TEXT(B2, "mmm yyyy")</f>
        <v>Sep 2026</v>
      </c>
      <c r="O2" s="3" t="str" cm="1">
        <f t="array" ref="O2">_xlfn.IFS(J2&gt;=300000, "High Value", J2&gt;=100000, "Medium Value", TRUE, "Low Value")</f>
        <v>Medium Value</v>
      </c>
      <c r="P2" s="3" t="str">
        <f>IF(M2&gt;=0.4, "High Margin", IF(M2&gt;=0.2, "Moderate Margin", "Low Margin"))</f>
        <v>Low Margin</v>
      </c>
    </row>
    <row r="3" spans="1:16" x14ac:dyDescent="0.3">
      <c r="A3" s="3">
        <v>2</v>
      </c>
      <c r="B3" s="4">
        <v>46267</v>
      </c>
      <c r="C3" s="3" t="s">
        <v>7</v>
      </c>
      <c r="D3" s="3" t="s">
        <v>20</v>
      </c>
      <c r="E3" s="3" t="s">
        <v>69</v>
      </c>
      <c r="F3" s="9">
        <v>7</v>
      </c>
      <c r="G3" s="12">
        <v>1500</v>
      </c>
      <c r="H3" s="12">
        <v>2200</v>
      </c>
      <c r="I3" s="12">
        <f t="shared" ref="I3:I61" si="0">(H3-G3 )</f>
        <v>700</v>
      </c>
      <c r="J3" s="12">
        <f t="shared" ref="J3:J61" si="1">F3*H3</f>
        <v>15400</v>
      </c>
      <c r="K3" s="12">
        <f t="shared" ref="K3:K61" si="2">F3*G3</f>
        <v>10500</v>
      </c>
      <c r="L3" s="12">
        <f t="shared" ref="L3:L61" si="3">F3*I3</f>
        <v>4900</v>
      </c>
      <c r="M3" s="16">
        <f t="shared" ref="M3:M61" si="4">L3/J3</f>
        <v>0.31818181818181818</v>
      </c>
      <c r="N3" s="17" t="str">
        <f t="shared" ref="N3:N61" si="5">TEXT(B3, "mmm yyyy")</f>
        <v>Sep 2026</v>
      </c>
      <c r="O3" s="3" t="str" cm="1">
        <f t="array" ref="O3">_xlfn.IFS(J3&gt;=300000, "High Value", J3&gt;=100000, "Medium Value", TRUE, "Low Value")</f>
        <v>Low Value</v>
      </c>
      <c r="P3" s="3" t="str">
        <f t="shared" ref="P3:P61" si="6">IF(M3&gt;=0.4, "High Margin", IF(M3&gt;=0.2, "Moderate Margin", "Low Margin"))</f>
        <v>Moderate Margin</v>
      </c>
    </row>
    <row r="4" spans="1:16" x14ac:dyDescent="0.3">
      <c r="A4" s="3">
        <v>3</v>
      </c>
      <c r="B4" s="4">
        <v>46268</v>
      </c>
      <c r="C4" s="3" t="s">
        <v>8</v>
      </c>
      <c r="D4" s="3" t="s">
        <v>20</v>
      </c>
      <c r="E4" s="3" t="s">
        <v>69</v>
      </c>
      <c r="F4" s="9">
        <v>12</v>
      </c>
      <c r="G4" s="12">
        <v>1200</v>
      </c>
      <c r="H4" s="12">
        <v>2000</v>
      </c>
      <c r="I4" s="12">
        <f t="shared" si="0"/>
        <v>800</v>
      </c>
      <c r="J4" s="12">
        <f t="shared" si="1"/>
        <v>24000</v>
      </c>
      <c r="K4" s="12">
        <f t="shared" si="2"/>
        <v>14400</v>
      </c>
      <c r="L4" s="12">
        <f t="shared" si="3"/>
        <v>9600</v>
      </c>
      <c r="M4" s="16">
        <f t="shared" si="4"/>
        <v>0.4</v>
      </c>
      <c r="N4" s="17" t="str">
        <f t="shared" si="5"/>
        <v>Sep 2026</v>
      </c>
      <c r="O4" s="3" t="str" cm="1">
        <f t="array" ref="O4">_xlfn.IFS(J4&gt;=300000, "High Value", J4&gt;=100000, "Medium Value", TRUE, "Low Value")</f>
        <v>Low Value</v>
      </c>
      <c r="P4" s="3" t="str">
        <f t="shared" si="6"/>
        <v>High Margin</v>
      </c>
    </row>
    <row r="5" spans="1:16" x14ac:dyDescent="0.3">
      <c r="A5" s="3">
        <v>4</v>
      </c>
      <c r="B5" s="4">
        <v>46269</v>
      </c>
      <c r="C5" s="3" t="s">
        <v>9</v>
      </c>
      <c r="D5" s="3" t="s">
        <v>21</v>
      </c>
      <c r="E5" s="3" t="s">
        <v>70</v>
      </c>
      <c r="F5" s="9">
        <v>8</v>
      </c>
      <c r="G5" s="12">
        <v>20000</v>
      </c>
      <c r="H5" s="12">
        <v>25000</v>
      </c>
      <c r="I5" s="12">
        <f t="shared" si="0"/>
        <v>5000</v>
      </c>
      <c r="J5" s="12">
        <f t="shared" si="1"/>
        <v>200000</v>
      </c>
      <c r="K5" s="12">
        <f t="shared" si="2"/>
        <v>160000</v>
      </c>
      <c r="L5" s="12">
        <f t="shared" si="3"/>
        <v>40000</v>
      </c>
      <c r="M5" s="16">
        <f t="shared" si="4"/>
        <v>0.2</v>
      </c>
      <c r="N5" s="17" t="str">
        <f t="shared" si="5"/>
        <v>Sep 2026</v>
      </c>
      <c r="O5" s="3" t="str" cm="1">
        <f t="array" ref="O5">_xlfn.IFS(J5&gt;=300000, "High Value", J5&gt;=100000, "Medium Value", TRUE, "Low Value")</f>
        <v>Medium Value</v>
      </c>
      <c r="P5" s="3" t="str">
        <f t="shared" si="6"/>
        <v>Moderate Margin</v>
      </c>
    </row>
    <row r="6" spans="1:16" x14ac:dyDescent="0.3">
      <c r="A6" s="3">
        <v>5</v>
      </c>
      <c r="B6" s="4">
        <v>46270</v>
      </c>
      <c r="C6" s="3" t="s">
        <v>10</v>
      </c>
      <c r="D6" s="3" t="s">
        <v>21</v>
      </c>
      <c r="E6" s="3" t="s">
        <v>71</v>
      </c>
      <c r="F6" s="9">
        <v>15</v>
      </c>
      <c r="G6" s="12">
        <v>25000</v>
      </c>
      <c r="H6" s="12">
        <v>30000</v>
      </c>
      <c r="I6" s="12">
        <f t="shared" si="0"/>
        <v>5000</v>
      </c>
      <c r="J6" s="12">
        <f t="shared" si="1"/>
        <v>450000</v>
      </c>
      <c r="K6" s="12">
        <f t="shared" si="2"/>
        <v>375000</v>
      </c>
      <c r="L6" s="12">
        <f t="shared" si="3"/>
        <v>75000</v>
      </c>
      <c r="M6" s="16">
        <f t="shared" si="4"/>
        <v>0.16666666666666666</v>
      </c>
      <c r="N6" s="17" t="str">
        <f t="shared" si="5"/>
        <v>Sep 2026</v>
      </c>
      <c r="O6" s="3" t="str" cm="1">
        <f t="array" ref="O6">_xlfn.IFS(J6&gt;=300000, "High Value", J6&gt;=100000, "Medium Value", TRUE, "Low Value")</f>
        <v>High Value</v>
      </c>
      <c r="P6" s="3" t="str">
        <f t="shared" si="6"/>
        <v>Low Margin</v>
      </c>
    </row>
    <row r="7" spans="1:16" x14ac:dyDescent="0.3">
      <c r="A7" s="3">
        <v>6</v>
      </c>
      <c r="B7" s="4">
        <v>46271</v>
      </c>
      <c r="C7" s="3" t="s">
        <v>38</v>
      </c>
      <c r="D7" s="3" t="s">
        <v>21</v>
      </c>
      <c r="E7" s="3" t="s">
        <v>70</v>
      </c>
      <c r="F7" s="9">
        <v>3</v>
      </c>
      <c r="G7" s="12">
        <v>3000</v>
      </c>
      <c r="H7" s="12">
        <v>3800</v>
      </c>
      <c r="I7" s="12">
        <f t="shared" si="0"/>
        <v>800</v>
      </c>
      <c r="J7" s="12">
        <f t="shared" si="1"/>
        <v>11400</v>
      </c>
      <c r="K7" s="12">
        <f t="shared" si="2"/>
        <v>9000</v>
      </c>
      <c r="L7" s="12">
        <f t="shared" si="3"/>
        <v>2400</v>
      </c>
      <c r="M7" s="16">
        <f t="shared" si="4"/>
        <v>0.21052631578947367</v>
      </c>
      <c r="N7" s="17" t="str">
        <f t="shared" si="5"/>
        <v>Sep 2026</v>
      </c>
      <c r="O7" s="3" t="str" cm="1">
        <f t="array" ref="O7">_xlfn.IFS(J7&gt;=300000, "High Value", J7&gt;=100000, "Medium Value", TRUE, "Low Value")</f>
        <v>Low Value</v>
      </c>
      <c r="P7" s="3" t="str">
        <f t="shared" si="6"/>
        <v>Moderate Margin</v>
      </c>
    </row>
    <row r="8" spans="1:16" x14ac:dyDescent="0.3">
      <c r="A8" s="3">
        <v>7</v>
      </c>
      <c r="B8" s="4">
        <v>46272</v>
      </c>
      <c r="C8" s="3" t="s">
        <v>11</v>
      </c>
      <c r="D8" s="3" t="s">
        <v>22</v>
      </c>
      <c r="E8" s="3" t="s">
        <v>68</v>
      </c>
      <c r="F8" s="9">
        <v>7</v>
      </c>
      <c r="G8" s="12">
        <v>1800</v>
      </c>
      <c r="H8" s="12">
        <v>2500</v>
      </c>
      <c r="I8" s="12">
        <f t="shared" si="0"/>
        <v>700</v>
      </c>
      <c r="J8" s="12">
        <f t="shared" si="1"/>
        <v>17500</v>
      </c>
      <c r="K8" s="12">
        <f t="shared" si="2"/>
        <v>12600</v>
      </c>
      <c r="L8" s="12">
        <f t="shared" si="3"/>
        <v>4900</v>
      </c>
      <c r="M8" s="16">
        <f t="shared" si="4"/>
        <v>0.28000000000000003</v>
      </c>
      <c r="N8" s="17" t="str">
        <f t="shared" si="5"/>
        <v>Sep 2026</v>
      </c>
      <c r="O8" s="3" t="str" cm="1">
        <f t="array" ref="O8">_xlfn.IFS(J8&gt;=300000, "High Value", J8&gt;=100000, "Medium Value", TRUE, "Low Value")</f>
        <v>Low Value</v>
      </c>
      <c r="P8" s="3" t="str">
        <f t="shared" si="6"/>
        <v>Moderate Margin</v>
      </c>
    </row>
    <row r="9" spans="1:16" x14ac:dyDescent="0.3">
      <c r="A9" s="3">
        <v>8</v>
      </c>
      <c r="B9" s="4">
        <v>46273</v>
      </c>
      <c r="C9" s="3" t="s">
        <v>12</v>
      </c>
      <c r="D9" s="3" t="s">
        <v>22</v>
      </c>
      <c r="E9" s="3" t="s">
        <v>68</v>
      </c>
      <c r="F9" s="9">
        <v>9</v>
      </c>
      <c r="G9" s="12">
        <v>1500</v>
      </c>
      <c r="H9" s="12">
        <v>2300</v>
      </c>
      <c r="I9" s="12">
        <f t="shared" si="0"/>
        <v>800</v>
      </c>
      <c r="J9" s="12">
        <f t="shared" si="1"/>
        <v>20700</v>
      </c>
      <c r="K9" s="12">
        <f t="shared" si="2"/>
        <v>13500</v>
      </c>
      <c r="L9" s="12">
        <f t="shared" si="3"/>
        <v>7200</v>
      </c>
      <c r="M9" s="16">
        <f t="shared" si="4"/>
        <v>0.34782608695652173</v>
      </c>
      <c r="N9" s="17" t="str">
        <f t="shared" si="5"/>
        <v>Sep 2026</v>
      </c>
      <c r="O9" s="3" t="str" cm="1">
        <f t="array" ref="O9">_xlfn.IFS(J9&gt;=300000, "High Value", J9&gt;=100000, "Medium Value", TRUE, "Low Value")</f>
        <v>Low Value</v>
      </c>
      <c r="P9" s="3" t="str">
        <f t="shared" si="6"/>
        <v>Moderate Margin</v>
      </c>
    </row>
    <row r="10" spans="1:16" x14ac:dyDescent="0.3">
      <c r="A10" s="3">
        <v>9</v>
      </c>
      <c r="B10" s="4">
        <v>46274</v>
      </c>
      <c r="C10" s="3" t="s">
        <v>13</v>
      </c>
      <c r="D10" s="3" t="s">
        <v>22</v>
      </c>
      <c r="E10" s="3" t="s">
        <v>71</v>
      </c>
      <c r="F10" s="9">
        <v>5</v>
      </c>
      <c r="G10" s="12">
        <v>1200</v>
      </c>
      <c r="H10" s="12">
        <v>2000</v>
      </c>
      <c r="I10" s="12">
        <f t="shared" si="0"/>
        <v>800</v>
      </c>
      <c r="J10" s="12">
        <f t="shared" si="1"/>
        <v>10000</v>
      </c>
      <c r="K10" s="12">
        <f t="shared" si="2"/>
        <v>6000</v>
      </c>
      <c r="L10" s="12">
        <f t="shared" si="3"/>
        <v>4000</v>
      </c>
      <c r="M10" s="16">
        <f t="shared" si="4"/>
        <v>0.4</v>
      </c>
      <c r="N10" s="17" t="str">
        <f t="shared" si="5"/>
        <v>Sep 2026</v>
      </c>
      <c r="O10" s="3" t="str" cm="1">
        <f t="array" ref="O10">_xlfn.IFS(J10&gt;=300000, "High Value", J10&gt;=100000, "Medium Value", TRUE, "Low Value")</f>
        <v>Low Value</v>
      </c>
      <c r="P10" s="3" t="str">
        <f t="shared" si="6"/>
        <v>High Margin</v>
      </c>
    </row>
    <row r="11" spans="1:16" x14ac:dyDescent="0.3">
      <c r="A11" s="3">
        <v>10</v>
      </c>
      <c r="B11" s="4">
        <v>46275</v>
      </c>
      <c r="C11" s="3" t="s">
        <v>14</v>
      </c>
      <c r="D11" s="3" t="s">
        <v>20</v>
      </c>
      <c r="E11" s="3" t="s">
        <v>72</v>
      </c>
      <c r="F11" s="9">
        <v>14</v>
      </c>
      <c r="G11" s="12">
        <v>25000</v>
      </c>
      <c r="H11" s="12">
        <v>35000</v>
      </c>
      <c r="I11" s="12">
        <f t="shared" si="0"/>
        <v>10000</v>
      </c>
      <c r="J11" s="12">
        <f t="shared" si="1"/>
        <v>490000</v>
      </c>
      <c r="K11" s="12">
        <f t="shared" si="2"/>
        <v>350000</v>
      </c>
      <c r="L11" s="12">
        <f t="shared" si="3"/>
        <v>140000</v>
      </c>
      <c r="M11" s="16">
        <f t="shared" si="4"/>
        <v>0.2857142857142857</v>
      </c>
      <c r="N11" s="17" t="str">
        <f t="shared" si="5"/>
        <v>Sep 2026</v>
      </c>
      <c r="O11" s="3" t="str" cm="1">
        <f t="array" ref="O11">_xlfn.IFS(J11&gt;=300000, "High Value", J11&gt;=100000, "Medium Value", TRUE, "Low Value")</f>
        <v>High Value</v>
      </c>
      <c r="P11" s="3" t="str">
        <f t="shared" si="6"/>
        <v>Moderate Margin</v>
      </c>
    </row>
    <row r="12" spans="1:16" x14ac:dyDescent="0.3">
      <c r="A12" s="3">
        <v>11</v>
      </c>
      <c r="B12" s="4">
        <v>46276</v>
      </c>
      <c r="C12" s="3" t="s">
        <v>15</v>
      </c>
      <c r="D12" s="3" t="s">
        <v>20</v>
      </c>
      <c r="E12" s="3" t="s">
        <v>68</v>
      </c>
      <c r="F12" s="9">
        <v>6</v>
      </c>
      <c r="G12" s="12">
        <v>28000</v>
      </c>
      <c r="H12" s="12">
        <v>35000</v>
      </c>
      <c r="I12" s="12">
        <f t="shared" si="0"/>
        <v>7000</v>
      </c>
      <c r="J12" s="12">
        <f t="shared" si="1"/>
        <v>210000</v>
      </c>
      <c r="K12" s="12">
        <f t="shared" si="2"/>
        <v>168000</v>
      </c>
      <c r="L12" s="12">
        <f t="shared" si="3"/>
        <v>42000</v>
      </c>
      <c r="M12" s="16">
        <f t="shared" si="4"/>
        <v>0.2</v>
      </c>
      <c r="N12" s="17" t="str">
        <f t="shared" si="5"/>
        <v>Sep 2026</v>
      </c>
      <c r="O12" s="3" t="str" cm="1">
        <f t="array" ref="O12">_xlfn.IFS(J12&gt;=300000, "High Value", J12&gt;=100000, "Medium Value", TRUE, "Low Value")</f>
        <v>Medium Value</v>
      </c>
      <c r="P12" s="3" t="str">
        <f t="shared" si="6"/>
        <v>Moderate Margin</v>
      </c>
    </row>
    <row r="13" spans="1:16" x14ac:dyDescent="0.3">
      <c r="A13" s="3">
        <v>12</v>
      </c>
      <c r="B13" s="4">
        <v>46277</v>
      </c>
      <c r="C13" s="3" t="s">
        <v>16</v>
      </c>
      <c r="D13" s="3" t="s">
        <v>21</v>
      </c>
      <c r="E13" s="3" t="s">
        <v>69</v>
      </c>
      <c r="F13" s="9">
        <v>12</v>
      </c>
      <c r="G13" s="12">
        <v>4800</v>
      </c>
      <c r="H13" s="12">
        <v>5500</v>
      </c>
      <c r="I13" s="12">
        <f t="shared" si="0"/>
        <v>700</v>
      </c>
      <c r="J13" s="12">
        <f t="shared" si="1"/>
        <v>66000</v>
      </c>
      <c r="K13" s="12">
        <f t="shared" si="2"/>
        <v>57600</v>
      </c>
      <c r="L13" s="12">
        <f t="shared" si="3"/>
        <v>8400</v>
      </c>
      <c r="M13" s="16">
        <f t="shared" si="4"/>
        <v>0.12727272727272726</v>
      </c>
      <c r="N13" s="17" t="str">
        <f t="shared" si="5"/>
        <v>Sep 2026</v>
      </c>
      <c r="O13" s="3" t="str" cm="1">
        <f t="array" ref="O13">_xlfn.IFS(J13&gt;=300000, "High Value", J13&gt;=100000, "Medium Value", TRUE, "Low Value")</f>
        <v>Low Value</v>
      </c>
      <c r="P13" s="3" t="str">
        <f t="shared" si="6"/>
        <v>Low Margin</v>
      </c>
    </row>
    <row r="14" spans="1:16" x14ac:dyDescent="0.3">
      <c r="A14" s="3">
        <v>13</v>
      </c>
      <c r="B14" s="4">
        <v>46278</v>
      </c>
      <c r="C14" s="3" t="s">
        <v>17</v>
      </c>
      <c r="D14" s="3" t="s">
        <v>21</v>
      </c>
      <c r="E14" s="3" t="s">
        <v>71</v>
      </c>
      <c r="F14" s="9">
        <v>18</v>
      </c>
      <c r="G14" s="12">
        <v>1200</v>
      </c>
      <c r="H14" s="12">
        <v>1800</v>
      </c>
      <c r="I14" s="12">
        <f t="shared" si="0"/>
        <v>600</v>
      </c>
      <c r="J14" s="12">
        <f t="shared" si="1"/>
        <v>32400</v>
      </c>
      <c r="K14" s="12">
        <f t="shared" si="2"/>
        <v>21600</v>
      </c>
      <c r="L14" s="12">
        <f t="shared" si="3"/>
        <v>10800</v>
      </c>
      <c r="M14" s="16">
        <f t="shared" si="4"/>
        <v>0.33333333333333331</v>
      </c>
      <c r="N14" s="17" t="str">
        <f t="shared" si="5"/>
        <v>Sep 2026</v>
      </c>
      <c r="O14" s="3" t="str" cm="1">
        <f t="array" ref="O14">_xlfn.IFS(J14&gt;=300000, "High Value", J14&gt;=100000, "Medium Value", TRUE, "Low Value")</f>
        <v>Low Value</v>
      </c>
      <c r="P14" s="3" t="str">
        <f t="shared" si="6"/>
        <v>Moderate Margin</v>
      </c>
    </row>
    <row r="15" spans="1:16" x14ac:dyDescent="0.3">
      <c r="A15" s="3">
        <v>14</v>
      </c>
      <c r="B15" s="4">
        <v>46279</v>
      </c>
      <c r="C15" s="3" t="s">
        <v>18</v>
      </c>
      <c r="D15" s="3" t="s">
        <v>22</v>
      </c>
      <c r="E15" s="3" t="s">
        <v>71</v>
      </c>
      <c r="F15" s="9">
        <v>9</v>
      </c>
      <c r="G15" s="12">
        <v>1800</v>
      </c>
      <c r="H15" s="12">
        <v>2200</v>
      </c>
      <c r="I15" s="12">
        <f t="shared" si="0"/>
        <v>400</v>
      </c>
      <c r="J15" s="12">
        <f t="shared" si="1"/>
        <v>19800</v>
      </c>
      <c r="K15" s="12">
        <f t="shared" si="2"/>
        <v>16200</v>
      </c>
      <c r="L15" s="12">
        <f t="shared" si="3"/>
        <v>3600</v>
      </c>
      <c r="M15" s="16">
        <f t="shared" si="4"/>
        <v>0.18181818181818182</v>
      </c>
      <c r="N15" s="17" t="str">
        <f t="shared" si="5"/>
        <v>Sep 2026</v>
      </c>
      <c r="O15" s="3" t="str" cm="1">
        <f t="array" ref="O15">_xlfn.IFS(J15&gt;=300000, "High Value", J15&gt;=100000, "Medium Value", TRUE, "Low Value")</f>
        <v>Low Value</v>
      </c>
      <c r="P15" s="3" t="str">
        <f t="shared" si="6"/>
        <v>Low Margin</v>
      </c>
    </row>
    <row r="16" spans="1:16" x14ac:dyDescent="0.3">
      <c r="A16" s="3">
        <v>15</v>
      </c>
      <c r="B16" s="4">
        <v>46280</v>
      </c>
      <c r="C16" s="3" t="s">
        <v>19</v>
      </c>
      <c r="D16" s="3" t="s">
        <v>22</v>
      </c>
      <c r="E16" s="3" t="s">
        <v>68</v>
      </c>
      <c r="F16" s="9">
        <v>7</v>
      </c>
      <c r="G16" s="12">
        <v>1600</v>
      </c>
      <c r="H16" s="12">
        <v>2000</v>
      </c>
      <c r="I16" s="12">
        <f t="shared" si="0"/>
        <v>400</v>
      </c>
      <c r="J16" s="12">
        <f t="shared" si="1"/>
        <v>14000</v>
      </c>
      <c r="K16" s="12">
        <f t="shared" si="2"/>
        <v>11200</v>
      </c>
      <c r="L16" s="12">
        <f t="shared" si="3"/>
        <v>2800</v>
      </c>
      <c r="M16" s="16">
        <f t="shared" si="4"/>
        <v>0.2</v>
      </c>
      <c r="N16" s="17" t="str">
        <f t="shared" si="5"/>
        <v>Sep 2026</v>
      </c>
      <c r="O16" s="3" t="str" cm="1">
        <f t="array" ref="O16">_xlfn.IFS(J16&gt;=300000, "High Value", J16&gt;=100000, "Medium Value", TRUE, "Low Value")</f>
        <v>Low Value</v>
      </c>
      <c r="P16" s="3" t="str">
        <f t="shared" si="6"/>
        <v>Moderate Margin</v>
      </c>
    </row>
    <row r="17" spans="1:16" x14ac:dyDescent="0.3">
      <c r="A17" s="3">
        <v>16</v>
      </c>
      <c r="B17" s="4">
        <v>46281</v>
      </c>
      <c r="C17" s="3" t="s">
        <v>23</v>
      </c>
      <c r="D17" s="3" t="s">
        <v>20</v>
      </c>
      <c r="E17" s="3" t="s">
        <v>70</v>
      </c>
      <c r="F17" s="9">
        <v>11</v>
      </c>
      <c r="G17" s="12">
        <v>55000</v>
      </c>
      <c r="H17" s="12">
        <v>64000</v>
      </c>
      <c r="I17" s="12">
        <f t="shared" si="0"/>
        <v>9000</v>
      </c>
      <c r="J17" s="12">
        <f t="shared" si="1"/>
        <v>704000</v>
      </c>
      <c r="K17" s="12">
        <f t="shared" si="2"/>
        <v>605000</v>
      </c>
      <c r="L17" s="12">
        <f t="shared" si="3"/>
        <v>99000</v>
      </c>
      <c r="M17" s="16">
        <f t="shared" si="4"/>
        <v>0.140625</v>
      </c>
      <c r="N17" s="17" t="str">
        <f t="shared" si="5"/>
        <v>Sep 2026</v>
      </c>
      <c r="O17" s="3" t="str" cm="1">
        <f t="array" ref="O17">_xlfn.IFS(J17&gt;=300000, "High Value", J17&gt;=100000, "Medium Value", TRUE, "Low Value")</f>
        <v>High Value</v>
      </c>
      <c r="P17" s="3" t="str">
        <f t="shared" si="6"/>
        <v>Low Margin</v>
      </c>
    </row>
    <row r="18" spans="1:16" x14ac:dyDescent="0.3">
      <c r="A18" s="3">
        <v>17</v>
      </c>
      <c r="B18" s="4">
        <v>46282</v>
      </c>
      <c r="C18" s="3" t="s">
        <v>24</v>
      </c>
      <c r="D18" s="3" t="s">
        <v>20</v>
      </c>
      <c r="E18" s="3" t="s">
        <v>69</v>
      </c>
      <c r="F18" s="9">
        <v>4</v>
      </c>
      <c r="G18" s="12">
        <v>48000</v>
      </c>
      <c r="H18" s="12">
        <v>55000</v>
      </c>
      <c r="I18" s="12">
        <f t="shared" si="0"/>
        <v>7000</v>
      </c>
      <c r="J18" s="12">
        <f t="shared" si="1"/>
        <v>220000</v>
      </c>
      <c r="K18" s="12">
        <f t="shared" si="2"/>
        <v>192000</v>
      </c>
      <c r="L18" s="12">
        <f t="shared" si="3"/>
        <v>28000</v>
      </c>
      <c r="M18" s="16">
        <f t="shared" si="4"/>
        <v>0.12727272727272726</v>
      </c>
      <c r="N18" s="17" t="str">
        <f t="shared" si="5"/>
        <v>Sep 2026</v>
      </c>
      <c r="O18" s="3" t="str" cm="1">
        <f t="array" ref="O18">_xlfn.IFS(J18&gt;=300000, "High Value", J18&gt;=100000, "Medium Value", TRUE, "Low Value")</f>
        <v>Medium Value</v>
      </c>
      <c r="P18" s="3" t="str">
        <f t="shared" si="6"/>
        <v>Low Margin</v>
      </c>
    </row>
    <row r="19" spans="1:16" x14ac:dyDescent="0.3">
      <c r="A19" s="3">
        <v>18</v>
      </c>
      <c r="B19" s="4">
        <v>46283</v>
      </c>
      <c r="C19" s="3" t="s">
        <v>25</v>
      </c>
      <c r="D19" s="3" t="s">
        <v>20</v>
      </c>
      <c r="E19" s="3" t="s">
        <v>69</v>
      </c>
      <c r="F19" s="9">
        <v>6</v>
      </c>
      <c r="G19" s="12">
        <v>37000</v>
      </c>
      <c r="H19" s="12">
        <v>42000</v>
      </c>
      <c r="I19" s="12">
        <f t="shared" si="0"/>
        <v>5000</v>
      </c>
      <c r="J19" s="12">
        <f t="shared" si="1"/>
        <v>252000</v>
      </c>
      <c r="K19" s="12">
        <f t="shared" si="2"/>
        <v>222000</v>
      </c>
      <c r="L19" s="12">
        <f t="shared" si="3"/>
        <v>30000</v>
      </c>
      <c r="M19" s="16">
        <f t="shared" si="4"/>
        <v>0.11904761904761904</v>
      </c>
      <c r="N19" s="17" t="str">
        <f t="shared" si="5"/>
        <v>Sep 2026</v>
      </c>
      <c r="O19" s="3" t="str" cm="1">
        <f t="array" ref="O19">_xlfn.IFS(J19&gt;=300000, "High Value", J19&gt;=100000, "Medium Value", TRUE, "Low Value")</f>
        <v>Medium Value</v>
      </c>
      <c r="P19" s="3" t="str">
        <f t="shared" si="6"/>
        <v>Low Margin</v>
      </c>
    </row>
    <row r="20" spans="1:16" x14ac:dyDescent="0.3">
      <c r="A20" s="3">
        <v>19</v>
      </c>
      <c r="B20" s="4">
        <v>46284</v>
      </c>
      <c r="C20" s="3" t="s">
        <v>39</v>
      </c>
      <c r="D20" s="3" t="s">
        <v>21</v>
      </c>
      <c r="E20" s="3" t="s">
        <v>71</v>
      </c>
      <c r="F20" s="9">
        <v>7</v>
      </c>
      <c r="G20" s="12">
        <v>1200</v>
      </c>
      <c r="H20" s="12">
        <v>1500</v>
      </c>
      <c r="I20" s="12">
        <f t="shared" si="0"/>
        <v>300</v>
      </c>
      <c r="J20" s="12">
        <f t="shared" si="1"/>
        <v>10500</v>
      </c>
      <c r="K20" s="12">
        <f t="shared" si="2"/>
        <v>8400</v>
      </c>
      <c r="L20" s="12">
        <f t="shared" si="3"/>
        <v>2100</v>
      </c>
      <c r="M20" s="16">
        <f t="shared" si="4"/>
        <v>0.2</v>
      </c>
      <c r="N20" s="17" t="str">
        <f t="shared" si="5"/>
        <v>Sep 2026</v>
      </c>
      <c r="O20" s="3" t="str" cm="1">
        <f t="array" ref="O20">_xlfn.IFS(J20&gt;=300000, "High Value", J20&gt;=100000, "Medium Value", TRUE, "Low Value")</f>
        <v>Low Value</v>
      </c>
      <c r="P20" s="3" t="str">
        <f t="shared" si="6"/>
        <v>Moderate Margin</v>
      </c>
    </row>
    <row r="21" spans="1:16" x14ac:dyDescent="0.3">
      <c r="A21" s="3">
        <v>20</v>
      </c>
      <c r="B21" s="4">
        <v>46285</v>
      </c>
      <c r="C21" s="3" t="s">
        <v>40</v>
      </c>
      <c r="D21" s="3" t="s">
        <v>21</v>
      </c>
      <c r="E21" s="3" t="s">
        <v>68</v>
      </c>
      <c r="F21" s="9">
        <v>15</v>
      </c>
      <c r="G21" s="12">
        <v>1300</v>
      </c>
      <c r="H21" s="12">
        <v>2000</v>
      </c>
      <c r="I21" s="12">
        <f t="shared" si="0"/>
        <v>700</v>
      </c>
      <c r="J21" s="12">
        <f t="shared" si="1"/>
        <v>30000</v>
      </c>
      <c r="K21" s="12">
        <f t="shared" si="2"/>
        <v>19500</v>
      </c>
      <c r="L21" s="12">
        <f t="shared" si="3"/>
        <v>10500</v>
      </c>
      <c r="M21" s="16">
        <f t="shared" si="4"/>
        <v>0.35</v>
      </c>
      <c r="N21" s="17" t="str">
        <f t="shared" si="5"/>
        <v>Sep 2026</v>
      </c>
      <c r="O21" s="3" t="str" cm="1">
        <f t="array" ref="O21">_xlfn.IFS(J21&gt;=300000, "High Value", J21&gt;=100000, "Medium Value", TRUE, "Low Value")</f>
        <v>Low Value</v>
      </c>
      <c r="P21" s="3" t="str">
        <f t="shared" si="6"/>
        <v>Moderate Margin</v>
      </c>
    </row>
    <row r="22" spans="1:16" x14ac:dyDescent="0.3">
      <c r="A22" s="3">
        <v>21</v>
      </c>
      <c r="B22" s="4">
        <v>46286</v>
      </c>
      <c r="C22" s="3" t="s">
        <v>53</v>
      </c>
      <c r="D22" s="3" t="s">
        <v>22</v>
      </c>
      <c r="E22" s="3" t="s">
        <v>69</v>
      </c>
      <c r="F22" s="9">
        <v>10</v>
      </c>
      <c r="G22" s="12">
        <v>1100</v>
      </c>
      <c r="H22" s="12">
        <v>1600</v>
      </c>
      <c r="I22" s="12">
        <f t="shared" si="0"/>
        <v>500</v>
      </c>
      <c r="J22" s="12">
        <f t="shared" si="1"/>
        <v>16000</v>
      </c>
      <c r="K22" s="12">
        <f t="shared" si="2"/>
        <v>11000</v>
      </c>
      <c r="L22" s="12">
        <f t="shared" si="3"/>
        <v>5000</v>
      </c>
      <c r="M22" s="16">
        <f t="shared" si="4"/>
        <v>0.3125</v>
      </c>
      <c r="N22" s="17" t="str">
        <f t="shared" si="5"/>
        <v>Sep 2026</v>
      </c>
      <c r="O22" s="3" t="str" cm="1">
        <f t="array" ref="O22">_xlfn.IFS(J22&gt;=300000, "High Value", J22&gt;=100000, "Medium Value", TRUE, "Low Value")</f>
        <v>Low Value</v>
      </c>
      <c r="P22" s="3" t="str">
        <f t="shared" si="6"/>
        <v>Moderate Margin</v>
      </c>
    </row>
    <row r="23" spans="1:16" x14ac:dyDescent="0.3">
      <c r="A23" s="3">
        <v>22</v>
      </c>
      <c r="B23" s="4">
        <v>46287</v>
      </c>
      <c r="C23" s="3" t="s">
        <v>52</v>
      </c>
      <c r="D23" s="3" t="s">
        <v>21</v>
      </c>
      <c r="E23" s="3" t="s">
        <v>69</v>
      </c>
      <c r="F23" s="9">
        <v>8</v>
      </c>
      <c r="G23" s="12">
        <v>2700</v>
      </c>
      <c r="H23" s="12">
        <v>3400</v>
      </c>
      <c r="I23" s="12">
        <f t="shared" si="0"/>
        <v>700</v>
      </c>
      <c r="J23" s="12">
        <f t="shared" si="1"/>
        <v>27200</v>
      </c>
      <c r="K23" s="12">
        <f t="shared" si="2"/>
        <v>21600</v>
      </c>
      <c r="L23" s="12">
        <f t="shared" si="3"/>
        <v>5600</v>
      </c>
      <c r="M23" s="16">
        <f t="shared" si="4"/>
        <v>0.20588235294117646</v>
      </c>
      <c r="N23" s="17" t="str">
        <f t="shared" si="5"/>
        <v>Sep 2026</v>
      </c>
      <c r="O23" s="3" t="str" cm="1">
        <f t="array" ref="O23">_xlfn.IFS(J23&gt;=300000, "High Value", J23&gt;=100000, "Medium Value", TRUE, "Low Value")</f>
        <v>Low Value</v>
      </c>
      <c r="P23" s="3" t="str">
        <f t="shared" si="6"/>
        <v>Moderate Margin</v>
      </c>
    </row>
    <row r="24" spans="1:16" x14ac:dyDescent="0.3">
      <c r="A24" s="3">
        <v>23</v>
      </c>
      <c r="B24" s="4">
        <v>46288</v>
      </c>
      <c r="C24" s="3" t="s">
        <v>54</v>
      </c>
      <c r="D24" s="3" t="s">
        <v>22</v>
      </c>
      <c r="E24" s="3" t="s">
        <v>70</v>
      </c>
      <c r="F24" s="9">
        <v>19</v>
      </c>
      <c r="G24" s="12">
        <v>1800</v>
      </c>
      <c r="H24" s="12">
        <v>2200</v>
      </c>
      <c r="I24" s="12">
        <f t="shared" si="0"/>
        <v>400</v>
      </c>
      <c r="J24" s="12">
        <f t="shared" si="1"/>
        <v>41800</v>
      </c>
      <c r="K24" s="12">
        <f t="shared" si="2"/>
        <v>34200</v>
      </c>
      <c r="L24" s="12">
        <f t="shared" si="3"/>
        <v>7600</v>
      </c>
      <c r="M24" s="16">
        <f t="shared" si="4"/>
        <v>0.18181818181818182</v>
      </c>
      <c r="N24" s="17" t="str">
        <f t="shared" si="5"/>
        <v>Sep 2026</v>
      </c>
      <c r="O24" s="3" t="str" cm="1">
        <f t="array" ref="O24">_xlfn.IFS(J24&gt;=300000, "High Value", J24&gt;=100000, "Medium Value", TRUE, "Low Value")</f>
        <v>Low Value</v>
      </c>
      <c r="P24" s="3" t="str">
        <f t="shared" si="6"/>
        <v>Low Margin</v>
      </c>
    </row>
    <row r="25" spans="1:16" x14ac:dyDescent="0.3">
      <c r="A25" s="3">
        <v>24</v>
      </c>
      <c r="B25" s="4">
        <v>46289</v>
      </c>
      <c r="C25" s="3" t="s">
        <v>41</v>
      </c>
      <c r="D25" s="3" t="s">
        <v>21</v>
      </c>
      <c r="E25" s="3" t="s">
        <v>68</v>
      </c>
      <c r="F25" s="9">
        <v>3</v>
      </c>
      <c r="G25" s="12">
        <v>23000</v>
      </c>
      <c r="H25" s="12">
        <v>30000</v>
      </c>
      <c r="I25" s="12">
        <f t="shared" si="0"/>
        <v>7000</v>
      </c>
      <c r="J25" s="12">
        <f t="shared" si="1"/>
        <v>90000</v>
      </c>
      <c r="K25" s="12">
        <f t="shared" si="2"/>
        <v>69000</v>
      </c>
      <c r="L25" s="12">
        <f t="shared" si="3"/>
        <v>21000</v>
      </c>
      <c r="M25" s="16">
        <f t="shared" si="4"/>
        <v>0.23333333333333334</v>
      </c>
      <c r="N25" s="17" t="str">
        <f t="shared" si="5"/>
        <v>Sep 2026</v>
      </c>
      <c r="O25" s="3" t="str" cm="1">
        <f t="array" ref="O25">_xlfn.IFS(J25&gt;=300000, "High Value", J25&gt;=100000, "Medium Value", TRUE, "Low Value")</f>
        <v>Low Value</v>
      </c>
      <c r="P25" s="3" t="str">
        <f t="shared" si="6"/>
        <v>Moderate Margin</v>
      </c>
    </row>
    <row r="26" spans="1:16" x14ac:dyDescent="0.3">
      <c r="A26" s="3">
        <v>25</v>
      </c>
      <c r="B26" s="4">
        <v>46290</v>
      </c>
      <c r="C26" s="3" t="s">
        <v>42</v>
      </c>
      <c r="D26" s="3" t="s">
        <v>21</v>
      </c>
      <c r="E26" s="3" t="s">
        <v>70</v>
      </c>
      <c r="F26" s="9">
        <v>5</v>
      </c>
      <c r="G26" s="12">
        <v>8000</v>
      </c>
      <c r="H26" s="12">
        <v>10000</v>
      </c>
      <c r="I26" s="12">
        <f t="shared" si="0"/>
        <v>2000</v>
      </c>
      <c r="J26" s="12">
        <f t="shared" si="1"/>
        <v>50000</v>
      </c>
      <c r="K26" s="12">
        <f t="shared" si="2"/>
        <v>40000</v>
      </c>
      <c r="L26" s="12">
        <f t="shared" si="3"/>
        <v>10000</v>
      </c>
      <c r="M26" s="16">
        <f t="shared" si="4"/>
        <v>0.2</v>
      </c>
      <c r="N26" s="17" t="str">
        <f t="shared" si="5"/>
        <v>Sep 2026</v>
      </c>
      <c r="O26" s="3" t="str" cm="1">
        <f t="array" ref="O26">_xlfn.IFS(J26&gt;=300000, "High Value", J26&gt;=100000, "Medium Value", TRUE, "Low Value")</f>
        <v>Low Value</v>
      </c>
      <c r="P26" s="3" t="str">
        <f t="shared" si="6"/>
        <v>Moderate Margin</v>
      </c>
    </row>
    <row r="27" spans="1:16" x14ac:dyDescent="0.3">
      <c r="A27" s="3">
        <v>26</v>
      </c>
      <c r="B27" s="4">
        <v>46291</v>
      </c>
      <c r="C27" s="3" t="s">
        <v>55</v>
      </c>
      <c r="D27" s="3" t="s">
        <v>22</v>
      </c>
      <c r="E27" s="3" t="s">
        <v>68</v>
      </c>
      <c r="F27" s="9">
        <v>9</v>
      </c>
      <c r="G27" s="12">
        <v>15000</v>
      </c>
      <c r="H27" s="12">
        <v>20000</v>
      </c>
      <c r="I27" s="12">
        <f t="shared" si="0"/>
        <v>5000</v>
      </c>
      <c r="J27" s="12">
        <f t="shared" si="1"/>
        <v>180000</v>
      </c>
      <c r="K27" s="12">
        <f t="shared" si="2"/>
        <v>135000</v>
      </c>
      <c r="L27" s="12">
        <f t="shared" si="3"/>
        <v>45000</v>
      </c>
      <c r="M27" s="16">
        <f t="shared" si="4"/>
        <v>0.25</v>
      </c>
      <c r="N27" s="17" t="str">
        <f t="shared" si="5"/>
        <v>Sep 2026</v>
      </c>
      <c r="O27" s="3" t="str" cm="1">
        <f t="array" ref="O27">_xlfn.IFS(J27&gt;=300000, "High Value", J27&gt;=100000, "Medium Value", TRUE, "Low Value")</f>
        <v>Medium Value</v>
      </c>
      <c r="P27" s="3" t="str">
        <f t="shared" si="6"/>
        <v>Moderate Margin</v>
      </c>
    </row>
    <row r="28" spans="1:16" x14ac:dyDescent="0.3">
      <c r="A28" s="3">
        <v>27</v>
      </c>
      <c r="B28" s="4">
        <v>46292</v>
      </c>
      <c r="C28" s="3" t="s">
        <v>26</v>
      </c>
      <c r="D28" s="3" t="s">
        <v>20</v>
      </c>
      <c r="E28" s="3" t="s">
        <v>71</v>
      </c>
      <c r="F28" s="9">
        <v>17</v>
      </c>
      <c r="G28" s="12">
        <v>33000</v>
      </c>
      <c r="H28" s="12">
        <v>40000</v>
      </c>
      <c r="I28" s="12">
        <f t="shared" si="0"/>
        <v>7000</v>
      </c>
      <c r="J28" s="12">
        <f t="shared" si="1"/>
        <v>680000</v>
      </c>
      <c r="K28" s="12">
        <f t="shared" si="2"/>
        <v>561000</v>
      </c>
      <c r="L28" s="12">
        <f t="shared" si="3"/>
        <v>119000</v>
      </c>
      <c r="M28" s="16">
        <f t="shared" si="4"/>
        <v>0.17499999999999999</v>
      </c>
      <c r="N28" s="17" t="str">
        <f t="shared" si="5"/>
        <v>Sep 2026</v>
      </c>
      <c r="O28" s="3" t="str" cm="1">
        <f t="array" ref="O28">_xlfn.IFS(J28&gt;=300000, "High Value", J28&gt;=100000, "Medium Value", TRUE, "Low Value")</f>
        <v>High Value</v>
      </c>
      <c r="P28" s="3" t="str">
        <f t="shared" si="6"/>
        <v>Low Margin</v>
      </c>
    </row>
    <row r="29" spans="1:16" x14ac:dyDescent="0.3">
      <c r="A29" s="3">
        <v>28</v>
      </c>
      <c r="B29" s="4">
        <v>46293</v>
      </c>
      <c r="C29" s="3" t="s">
        <v>27</v>
      </c>
      <c r="D29" s="3" t="s">
        <v>20</v>
      </c>
      <c r="E29" s="3" t="s">
        <v>69</v>
      </c>
      <c r="F29" s="9">
        <v>13</v>
      </c>
      <c r="G29" s="12">
        <v>15000</v>
      </c>
      <c r="H29" s="12">
        <v>20000</v>
      </c>
      <c r="I29" s="12">
        <f t="shared" si="0"/>
        <v>5000</v>
      </c>
      <c r="J29" s="12">
        <f t="shared" si="1"/>
        <v>260000</v>
      </c>
      <c r="K29" s="12">
        <f t="shared" si="2"/>
        <v>195000</v>
      </c>
      <c r="L29" s="12">
        <f t="shared" si="3"/>
        <v>65000</v>
      </c>
      <c r="M29" s="16">
        <f t="shared" si="4"/>
        <v>0.25</v>
      </c>
      <c r="N29" s="17" t="str">
        <f t="shared" si="5"/>
        <v>Sep 2026</v>
      </c>
      <c r="O29" s="3" t="str" cm="1">
        <f t="array" ref="O29">_xlfn.IFS(J29&gt;=300000, "High Value", J29&gt;=100000, "Medium Value", TRUE, "Low Value")</f>
        <v>Medium Value</v>
      </c>
      <c r="P29" s="3" t="str">
        <f t="shared" si="6"/>
        <v>Moderate Margin</v>
      </c>
    </row>
    <row r="30" spans="1:16" x14ac:dyDescent="0.3">
      <c r="A30" s="3">
        <v>29</v>
      </c>
      <c r="B30" s="4">
        <v>46294</v>
      </c>
      <c r="C30" s="3" t="s">
        <v>51</v>
      </c>
      <c r="D30" s="3" t="s">
        <v>21</v>
      </c>
      <c r="E30" s="3" t="s">
        <v>70</v>
      </c>
      <c r="F30" s="9">
        <v>5</v>
      </c>
      <c r="G30" s="12">
        <v>5000</v>
      </c>
      <c r="H30" s="12">
        <v>7000</v>
      </c>
      <c r="I30" s="12">
        <f t="shared" si="0"/>
        <v>2000</v>
      </c>
      <c r="J30" s="12">
        <f t="shared" si="1"/>
        <v>35000</v>
      </c>
      <c r="K30" s="12">
        <f t="shared" si="2"/>
        <v>25000</v>
      </c>
      <c r="L30" s="12">
        <f t="shared" si="3"/>
        <v>10000</v>
      </c>
      <c r="M30" s="16">
        <f t="shared" si="4"/>
        <v>0.2857142857142857</v>
      </c>
      <c r="N30" s="17" t="str">
        <f t="shared" si="5"/>
        <v>Sep 2026</v>
      </c>
      <c r="O30" s="3" t="str" cm="1">
        <f t="array" ref="O30">_xlfn.IFS(J30&gt;=300000, "High Value", J30&gt;=100000, "Medium Value", TRUE, "Low Value")</f>
        <v>Low Value</v>
      </c>
      <c r="P30" s="3" t="str">
        <f t="shared" si="6"/>
        <v>Moderate Margin</v>
      </c>
    </row>
    <row r="31" spans="1:16" x14ac:dyDescent="0.3">
      <c r="A31" s="3">
        <v>30</v>
      </c>
      <c r="B31" s="4">
        <v>46295</v>
      </c>
      <c r="C31" s="3" t="s">
        <v>56</v>
      </c>
      <c r="D31" s="3" t="s">
        <v>22</v>
      </c>
      <c r="E31" s="3" t="s">
        <v>70</v>
      </c>
      <c r="F31" s="9">
        <v>12</v>
      </c>
      <c r="G31" s="12">
        <v>7700</v>
      </c>
      <c r="H31" s="12">
        <v>8000</v>
      </c>
      <c r="I31" s="12">
        <f t="shared" si="0"/>
        <v>300</v>
      </c>
      <c r="J31" s="12">
        <f t="shared" si="1"/>
        <v>96000</v>
      </c>
      <c r="K31" s="12">
        <f t="shared" si="2"/>
        <v>92400</v>
      </c>
      <c r="L31" s="12">
        <f t="shared" si="3"/>
        <v>3600</v>
      </c>
      <c r="M31" s="16">
        <f t="shared" si="4"/>
        <v>3.7499999999999999E-2</v>
      </c>
      <c r="N31" s="17" t="str">
        <f t="shared" si="5"/>
        <v>Sep 2026</v>
      </c>
      <c r="O31" s="3" t="str" cm="1">
        <f t="array" ref="O31">_xlfn.IFS(J31&gt;=300000, "High Value", J31&gt;=100000, "Medium Value", TRUE, "Low Value")</f>
        <v>Low Value</v>
      </c>
      <c r="P31" s="3" t="str">
        <f t="shared" si="6"/>
        <v>Low Margin</v>
      </c>
    </row>
    <row r="32" spans="1:16" x14ac:dyDescent="0.3">
      <c r="A32" s="3">
        <v>31</v>
      </c>
      <c r="B32" s="4">
        <v>46296</v>
      </c>
      <c r="C32" s="3" t="s">
        <v>43</v>
      </c>
      <c r="D32" s="3" t="s">
        <v>21</v>
      </c>
      <c r="E32" s="3" t="s">
        <v>71</v>
      </c>
      <c r="F32" s="9">
        <v>7</v>
      </c>
      <c r="G32" s="12">
        <v>12000</v>
      </c>
      <c r="H32" s="12">
        <v>15000</v>
      </c>
      <c r="I32" s="12">
        <f t="shared" si="0"/>
        <v>3000</v>
      </c>
      <c r="J32" s="12">
        <f t="shared" si="1"/>
        <v>105000</v>
      </c>
      <c r="K32" s="12">
        <f t="shared" si="2"/>
        <v>84000</v>
      </c>
      <c r="L32" s="12">
        <f t="shared" si="3"/>
        <v>21000</v>
      </c>
      <c r="M32" s="16">
        <f t="shared" si="4"/>
        <v>0.2</v>
      </c>
      <c r="N32" s="17" t="str">
        <f t="shared" si="5"/>
        <v>Oct 2026</v>
      </c>
      <c r="O32" s="3" t="str" cm="1">
        <f t="array" ref="O32">_xlfn.IFS(J32&gt;=300000, "High Value", J32&gt;=100000, "Medium Value", TRUE, "Low Value")</f>
        <v>Medium Value</v>
      </c>
      <c r="P32" s="3" t="str">
        <f t="shared" si="6"/>
        <v>Moderate Margin</v>
      </c>
    </row>
    <row r="33" spans="1:16" x14ac:dyDescent="0.3">
      <c r="A33" s="3">
        <v>32</v>
      </c>
      <c r="B33" s="4">
        <v>46297</v>
      </c>
      <c r="C33" s="3" t="s">
        <v>57</v>
      </c>
      <c r="D33" s="3" t="s">
        <v>22</v>
      </c>
      <c r="E33" s="3" t="s">
        <v>71</v>
      </c>
      <c r="F33" s="9">
        <v>6</v>
      </c>
      <c r="G33" s="12">
        <v>4500</v>
      </c>
      <c r="H33" s="12">
        <v>5000</v>
      </c>
      <c r="I33" s="12">
        <f t="shared" si="0"/>
        <v>500</v>
      </c>
      <c r="J33" s="12">
        <f t="shared" si="1"/>
        <v>30000</v>
      </c>
      <c r="K33" s="12">
        <f t="shared" si="2"/>
        <v>27000</v>
      </c>
      <c r="L33" s="12">
        <f t="shared" si="3"/>
        <v>3000</v>
      </c>
      <c r="M33" s="16">
        <f t="shared" si="4"/>
        <v>0.1</v>
      </c>
      <c r="N33" s="17" t="str">
        <f t="shared" si="5"/>
        <v>Oct 2026</v>
      </c>
      <c r="O33" s="3" t="str" cm="1">
        <f t="array" ref="O33">_xlfn.IFS(J33&gt;=300000, "High Value", J33&gt;=100000, "Medium Value", TRUE, "Low Value")</f>
        <v>Low Value</v>
      </c>
      <c r="P33" s="3" t="str">
        <f t="shared" si="6"/>
        <v>Low Margin</v>
      </c>
    </row>
    <row r="34" spans="1:16" x14ac:dyDescent="0.3">
      <c r="A34" s="3">
        <v>33</v>
      </c>
      <c r="B34" s="4">
        <v>46298</v>
      </c>
      <c r="C34" s="3" t="s">
        <v>28</v>
      </c>
      <c r="D34" s="3" t="s">
        <v>20</v>
      </c>
      <c r="E34" s="3" t="s">
        <v>69</v>
      </c>
      <c r="F34" s="9">
        <v>7</v>
      </c>
      <c r="G34" s="12">
        <v>38000</v>
      </c>
      <c r="H34" s="12">
        <v>47000</v>
      </c>
      <c r="I34" s="12">
        <f t="shared" si="0"/>
        <v>9000</v>
      </c>
      <c r="J34" s="12">
        <f t="shared" si="1"/>
        <v>329000</v>
      </c>
      <c r="K34" s="12">
        <f t="shared" si="2"/>
        <v>266000</v>
      </c>
      <c r="L34" s="12">
        <f t="shared" si="3"/>
        <v>63000</v>
      </c>
      <c r="M34" s="16">
        <f t="shared" si="4"/>
        <v>0.19148936170212766</v>
      </c>
      <c r="N34" s="17" t="str">
        <f t="shared" si="5"/>
        <v>Oct 2026</v>
      </c>
      <c r="O34" s="3" t="str" cm="1">
        <f t="array" ref="O34">_xlfn.IFS(J34&gt;=300000, "High Value", J34&gt;=100000, "Medium Value", TRUE, "Low Value")</f>
        <v>High Value</v>
      </c>
      <c r="P34" s="3" t="str">
        <f t="shared" si="6"/>
        <v>Low Margin</v>
      </c>
    </row>
    <row r="35" spans="1:16" x14ac:dyDescent="0.3">
      <c r="A35" s="3">
        <v>34</v>
      </c>
      <c r="B35" s="4">
        <v>46299</v>
      </c>
      <c r="C35" s="3" t="s">
        <v>29</v>
      </c>
      <c r="D35" s="3" t="s">
        <v>20</v>
      </c>
      <c r="E35" s="3" t="s">
        <v>68</v>
      </c>
      <c r="F35" s="9">
        <v>17</v>
      </c>
      <c r="G35" s="12">
        <v>24000</v>
      </c>
      <c r="H35" s="12">
        <v>28000</v>
      </c>
      <c r="I35" s="12">
        <f t="shared" si="0"/>
        <v>4000</v>
      </c>
      <c r="J35" s="12">
        <f t="shared" si="1"/>
        <v>476000</v>
      </c>
      <c r="K35" s="12">
        <f t="shared" si="2"/>
        <v>408000</v>
      </c>
      <c r="L35" s="12">
        <f t="shared" si="3"/>
        <v>68000</v>
      </c>
      <c r="M35" s="16">
        <f t="shared" si="4"/>
        <v>0.14285714285714285</v>
      </c>
      <c r="N35" s="17" t="str">
        <f t="shared" si="5"/>
        <v>Oct 2026</v>
      </c>
      <c r="O35" s="3" t="str" cm="1">
        <f t="array" ref="O35">_xlfn.IFS(J35&gt;=300000, "High Value", J35&gt;=100000, "Medium Value", TRUE, "Low Value")</f>
        <v>High Value</v>
      </c>
      <c r="P35" s="3" t="str">
        <f t="shared" si="6"/>
        <v>Low Margin</v>
      </c>
    </row>
    <row r="36" spans="1:16" x14ac:dyDescent="0.3">
      <c r="A36" s="3">
        <v>35</v>
      </c>
      <c r="B36" s="4">
        <v>46300</v>
      </c>
      <c r="C36" s="3" t="s">
        <v>58</v>
      </c>
      <c r="D36" s="3" t="s">
        <v>22</v>
      </c>
      <c r="E36" s="3" t="s">
        <v>70</v>
      </c>
      <c r="F36" s="9">
        <v>15</v>
      </c>
      <c r="G36" s="12">
        <v>1100</v>
      </c>
      <c r="H36" s="12">
        <v>1500</v>
      </c>
      <c r="I36" s="12">
        <f t="shared" si="0"/>
        <v>400</v>
      </c>
      <c r="J36" s="12">
        <f t="shared" si="1"/>
        <v>22500</v>
      </c>
      <c r="K36" s="12">
        <f t="shared" si="2"/>
        <v>16500</v>
      </c>
      <c r="L36" s="12">
        <f t="shared" si="3"/>
        <v>6000</v>
      </c>
      <c r="M36" s="16">
        <f t="shared" si="4"/>
        <v>0.26666666666666666</v>
      </c>
      <c r="N36" s="17" t="str">
        <f t="shared" si="5"/>
        <v>Oct 2026</v>
      </c>
      <c r="O36" s="3" t="str" cm="1">
        <f t="array" ref="O36">_xlfn.IFS(J36&gt;=300000, "High Value", J36&gt;=100000, "Medium Value", TRUE, "Low Value")</f>
        <v>Low Value</v>
      </c>
      <c r="P36" s="3" t="str">
        <f t="shared" si="6"/>
        <v>Moderate Margin</v>
      </c>
    </row>
    <row r="37" spans="1:16" x14ac:dyDescent="0.3">
      <c r="A37" s="3">
        <v>36</v>
      </c>
      <c r="B37" s="4">
        <v>46301</v>
      </c>
      <c r="C37" s="3" t="s">
        <v>59</v>
      </c>
      <c r="D37" s="3" t="s">
        <v>22</v>
      </c>
      <c r="E37" s="3" t="s">
        <v>71</v>
      </c>
      <c r="F37" s="9">
        <v>8</v>
      </c>
      <c r="G37" s="12">
        <v>2800</v>
      </c>
      <c r="H37" s="12">
        <v>3000</v>
      </c>
      <c r="I37" s="12">
        <f t="shared" si="0"/>
        <v>200</v>
      </c>
      <c r="J37" s="12">
        <f t="shared" si="1"/>
        <v>24000</v>
      </c>
      <c r="K37" s="12">
        <f t="shared" si="2"/>
        <v>22400</v>
      </c>
      <c r="L37" s="12">
        <f t="shared" si="3"/>
        <v>1600</v>
      </c>
      <c r="M37" s="16">
        <f t="shared" si="4"/>
        <v>6.6666666666666666E-2</v>
      </c>
      <c r="N37" s="17" t="str">
        <f t="shared" si="5"/>
        <v>Oct 2026</v>
      </c>
      <c r="O37" s="3" t="str" cm="1">
        <f t="array" ref="O37">_xlfn.IFS(J37&gt;=300000, "High Value", J37&gt;=100000, "Medium Value", TRUE, "Low Value")</f>
        <v>Low Value</v>
      </c>
      <c r="P37" s="3" t="str">
        <f t="shared" si="6"/>
        <v>Low Margin</v>
      </c>
    </row>
    <row r="38" spans="1:16" x14ac:dyDescent="0.3">
      <c r="A38" s="3">
        <v>37</v>
      </c>
      <c r="B38" s="4">
        <v>46302</v>
      </c>
      <c r="C38" s="3" t="s">
        <v>44</v>
      </c>
      <c r="D38" s="3" t="s">
        <v>21</v>
      </c>
      <c r="E38" s="3" t="s">
        <v>69</v>
      </c>
      <c r="F38" s="9">
        <v>6</v>
      </c>
      <c r="G38" s="12">
        <v>15000</v>
      </c>
      <c r="H38" s="12">
        <v>20000</v>
      </c>
      <c r="I38" s="12">
        <f t="shared" si="0"/>
        <v>5000</v>
      </c>
      <c r="J38" s="12">
        <f t="shared" si="1"/>
        <v>120000</v>
      </c>
      <c r="K38" s="12">
        <f t="shared" si="2"/>
        <v>90000</v>
      </c>
      <c r="L38" s="12">
        <f t="shared" si="3"/>
        <v>30000</v>
      </c>
      <c r="M38" s="16">
        <f t="shared" si="4"/>
        <v>0.25</v>
      </c>
      <c r="N38" s="17" t="str">
        <f t="shared" si="5"/>
        <v>Oct 2026</v>
      </c>
      <c r="O38" s="3" t="str" cm="1">
        <f t="array" ref="O38">_xlfn.IFS(J38&gt;=300000, "High Value", J38&gt;=100000, "Medium Value", TRUE, "Low Value")</f>
        <v>Medium Value</v>
      </c>
      <c r="P38" s="3" t="str">
        <f t="shared" si="6"/>
        <v>Moderate Margin</v>
      </c>
    </row>
    <row r="39" spans="1:16" x14ac:dyDescent="0.3">
      <c r="A39" s="3">
        <v>38</v>
      </c>
      <c r="B39" s="4">
        <v>46303</v>
      </c>
      <c r="C39" s="3" t="s">
        <v>45</v>
      </c>
      <c r="D39" s="3" t="s">
        <v>21</v>
      </c>
      <c r="E39" s="3" t="s">
        <v>68</v>
      </c>
      <c r="F39" s="9">
        <v>4</v>
      </c>
      <c r="G39" s="12">
        <v>13000</v>
      </c>
      <c r="H39" s="12">
        <v>18000</v>
      </c>
      <c r="I39" s="12">
        <f t="shared" si="0"/>
        <v>5000</v>
      </c>
      <c r="J39" s="12">
        <f t="shared" si="1"/>
        <v>72000</v>
      </c>
      <c r="K39" s="12">
        <f t="shared" si="2"/>
        <v>52000</v>
      </c>
      <c r="L39" s="12">
        <f t="shared" si="3"/>
        <v>20000</v>
      </c>
      <c r="M39" s="16">
        <f t="shared" si="4"/>
        <v>0.27777777777777779</v>
      </c>
      <c r="N39" s="17" t="str">
        <f t="shared" si="5"/>
        <v>Oct 2026</v>
      </c>
      <c r="O39" s="3" t="str" cm="1">
        <f t="array" ref="O39">_xlfn.IFS(J39&gt;=300000, "High Value", J39&gt;=100000, "Medium Value", TRUE, "Low Value")</f>
        <v>Low Value</v>
      </c>
      <c r="P39" s="3" t="str">
        <f t="shared" si="6"/>
        <v>Moderate Margin</v>
      </c>
    </row>
    <row r="40" spans="1:16" x14ac:dyDescent="0.3">
      <c r="A40" s="3">
        <v>39</v>
      </c>
      <c r="B40" s="4">
        <v>46304</v>
      </c>
      <c r="C40" s="3" t="s">
        <v>60</v>
      </c>
      <c r="D40" s="3" t="s">
        <v>22</v>
      </c>
      <c r="E40" s="3" t="s">
        <v>71</v>
      </c>
      <c r="F40" s="9">
        <v>6</v>
      </c>
      <c r="G40" s="12">
        <v>1200</v>
      </c>
      <c r="H40" s="12">
        <v>1500</v>
      </c>
      <c r="I40" s="12">
        <f t="shared" si="0"/>
        <v>300</v>
      </c>
      <c r="J40" s="12">
        <f t="shared" si="1"/>
        <v>9000</v>
      </c>
      <c r="K40" s="12">
        <f t="shared" si="2"/>
        <v>7200</v>
      </c>
      <c r="L40" s="12">
        <f t="shared" si="3"/>
        <v>1800</v>
      </c>
      <c r="M40" s="16">
        <f t="shared" si="4"/>
        <v>0.2</v>
      </c>
      <c r="N40" s="17" t="str">
        <f t="shared" si="5"/>
        <v>Oct 2026</v>
      </c>
      <c r="O40" s="3" t="str" cm="1">
        <f t="array" ref="O40">_xlfn.IFS(J40&gt;=300000, "High Value", J40&gt;=100000, "Medium Value", TRUE, "Low Value")</f>
        <v>Low Value</v>
      </c>
      <c r="P40" s="3" t="str">
        <f t="shared" si="6"/>
        <v>Moderate Margin</v>
      </c>
    </row>
    <row r="41" spans="1:16" x14ac:dyDescent="0.3">
      <c r="A41" s="3">
        <v>40</v>
      </c>
      <c r="B41" s="4">
        <v>46305</v>
      </c>
      <c r="C41" s="3" t="s">
        <v>36</v>
      </c>
      <c r="D41" s="3" t="s">
        <v>20</v>
      </c>
      <c r="E41" s="3" t="s">
        <v>70</v>
      </c>
      <c r="F41" s="9">
        <v>8</v>
      </c>
      <c r="G41" s="12">
        <v>1800</v>
      </c>
      <c r="H41" s="12">
        <v>2200</v>
      </c>
      <c r="I41" s="12">
        <f t="shared" si="0"/>
        <v>400</v>
      </c>
      <c r="J41" s="12">
        <f t="shared" si="1"/>
        <v>17600</v>
      </c>
      <c r="K41" s="12">
        <f t="shared" si="2"/>
        <v>14400</v>
      </c>
      <c r="L41" s="12">
        <f t="shared" si="3"/>
        <v>3200</v>
      </c>
      <c r="M41" s="16">
        <f t="shared" si="4"/>
        <v>0.18181818181818182</v>
      </c>
      <c r="N41" s="17" t="str">
        <f t="shared" si="5"/>
        <v>Oct 2026</v>
      </c>
      <c r="O41" s="3" t="str" cm="1">
        <f t="array" ref="O41">_xlfn.IFS(J41&gt;=300000, "High Value", J41&gt;=100000, "Medium Value", TRUE, "Low Value")</f>
        <v>Low Value</v>
      </c>
      <c r="P41" s="3" t="str">
        <f t="shared" si="6"/>
        <v>Low Margin</v>
      </c>
    </row>
    <row r="42" spans="1:16" x14ac:dyDescent="0.3">
      <c r="A42" s="3">
        <v>41</v>
      </c>
      <c r="B42" s="4">
        <v>46306</v>
      </c>
      <c r="C42" s="3" t="s">
        <v>37</v>
      </c>
      <c r="D42" s="3" t="s">
        <v>20</v>
      </c>
      <c r="E42" s="3" t="s">
        <v>70</v>
      </c>
      <c r="F42" s="9">
        <v>5</v>
      </c>
      <c r="G42" s="12">
        <v>2500</v>
      </c>
      <c r="H42" s="12">
        <v>3000</v>
      </c>
      <c r="I42" s="12">
        <f t="shared" si="0"/>
        <v>500</v>
      </c>
      <c r="J42" s="12">
        <f t="shared" si="1"/>
        <v>15000</v>
      </c>
      <c r="K42" s="12">
        <f t="shared" si="2"/>
        <v>12500</v>
      </c>
      <c r="L42" s="12">
        <f t="shared" si="3"/>
        <v>2500</v>
      </c>
      <c r="M42" s="16">
        <f t="shared" si="4"/>
        <v>0.16666666666666666</v>
      </c>
      <c r="N42" s="17" t="str">
        <f t="shared" si="5"/>
        <v>Oct 2026</v>
      </c>
      <c r="O42" s="3" t="str" cm="1">
        <f t="array" ref="O42">_xlfn.IFS(J42&gt;=300000, "High Value", J42&gt;=100000, "Medium Value", TRUE, "Low Value")</f>
        <v>Low Value</v>
      </c>
      <c r="P42" s="3" t="str">
        <f t="shared" si="6"/>
        <v>Low Margin</v>
      </c>
    </row>
    <row r="43" spans="1:16" x14ac:dyDescent="0.3">
      <c r="A43" s="3">
        <v>42</v>
      </c>
      <c r="B43" s="4">
        <v>46307</v>
      </c>
      <c r="C43" s="3" t="s">
        <v>61</v>
      </c>
      <c r="D43" s="3" t="s">
        <v>22</v>
      </c>
      <c r="E43" s="3" t="s">
        <v>69</v>
      </c>
      <c r="F43" s="9">
        <v>13</v>
      </c>
      <c r="G43" s="12">
        <v>600</v>
      </c>
      <c r="H43" s="12">
        <v>1000</v>
      </c>
      <c r="I43" s="12">
        <f t="shared" si="0"/>
        <v>400</v>
      </c>
      <c r="J43" s="12">
        <f t="shared" si="1"/>
        <v>13000</v>
      </c>
      <c r="K43" s="12">
        <f t="shared" si="2"/>
        <v>7800</v>
      </c>
      <c r="L43" s="12">
        <f t="shared" si="3"/>
        <v>5200</v>
      </c>
      <c r="M43" s="16">
        <f t="shared" si="4"/>
        <v>0.4</v>
      </c>
      <c r="N43" s="17" t="str">
        <f t="shared" si="5"/>
        <v>Oct 2026</v>
      </c>
      <c r="O43" s="3" t="str" cm="1">
        <f t="array" ref="O43">_xlfn.IFS(J43&gt;=300000, "High Value", J43&gt;=100000, "Medium Value", TRUE, "Low Value")</f>
        <v>Low Value</v>
      </c>
      <c r="P43" s="3" t="str">
        <f t="shared" si="6"/>
        <v>High Margin</v>
      </c>
    </row>
    <row r="44" spans="1:16" x14ac:dyDescent="0.3">
      <c r="A44" s="3">
        <v>43</v>
      </c>
      <c r="B44" s="4">
        <v>46308</v>
      </c>
      <c r="C44" s="3" t="s">
        <v>76</v>
      </c>
      <c r="D44" s="3" t="s">
        <v>21</v>
      </c>
      <c r="E44" s="3" t="s">
        <v>68</v>
      </c>
      <c r="F44" s="9">
        <v>17</v>
      </c>
      <c r="G44" s="12">
        <v>5000</v>
      </c>
      <c r="H44" s="12">
        <v>7000</v>
      </c>
      <c r="I44" s="12">
        <f t="shared" si="0"/>
        <v>2000</v>
      </c>
      <c r="J44" s="12">
        <f t="shared" si="1"/>
        <v>119000</v>
      </c>
      <c r="K44" s="12">
        <f t="shared" si="2"/>
        <v>85000</v>
      </c>
      <c r="L44" s="12">
        <f t="shared" si="3"/>
        <v>34000</v>
      </c>
      <c r="M44" s="16">
        <f t="shared" si="4"/>
        <v>0.2857142857142857</v>
      </c>
      <c r="N44" s="17" t="str">
        <f t="shared" si="5"/>
        <v>Oct 2026</v>
      </c>
      <c r="O44" s="3" t="str" cm="1">
        <f t="array" ref="O44">_xlfn.IFS(J44&gt;=300000, "High Value", J44&gt;=100000, "Medium Value", TRUE, "Low Value")</f>
        <v>Medium Value</v>
      </c>
      <c r="P44" s="3" t="str">
        <f t="shared" si="6"/>
        <v>Moderate Margin</v>
      </c>
    </row>
    <row r="45" spans="1:16" x14ac:dyDescent="0.3">
      <c r="A45" s="3">
        <v>44</v>
      </c>
      <c r="B45" s="4">
        <v>46309</v>
      </c>
      <c r="C45" s="3" t="s">
        <v>46</v>
      </c>
      <c r="D45" s="3" t="s">
        <v>21</v>
      </c>
      <c r="E45" s="3" t="s">
        <v>68</v>
      </c>
      <c r="F45" s="9">
        <v>6</v>
      </c>
      <c r="G45" s="12">
        <v>6000</v>
      </c>
      <c r="H45" s="12">
        <v>9000</v>
      </c>
      <c r="I45" s="12">
        <f t="shared" si="0"/>
        <v>3000</v>
      </c>
      <c r="J45" s="12">
        <f t="shared" si="1"/>
        <v>54000</v>
      </c>
      <c r="K45" s="12">
        <f t="shared" si="2"/>
        <v>36000</v>
      </c>
      <c r="L45" s="12">
        <f t="shared" si="3"/>
        <v>18000</v>
      </c>
      <c r="M45" s="16">
        <f t="shared" si="4"/>
        <v>0.33333333333333331</v>
      </c>
      <c r="N45" s="17" t="str">
        <f t="shared" si="5"/>
        <v>Oct 2026</v>
      </c>
      <c r="O45" s="3" t="str" cm="1">
        <f t="array" ref="O45">_xlfn.IFS(J45&gt;=300000, "High Value", J45&gt;=100000, "Medium Value", TRUE, "Low Value")</f>
        <v>Low Value</v>
      </c>
      <c r="P45" s="3" t="str">
        <f t="shared" si="6"/>
        <v>Moderate Margin</v>
      </c>
    </row>
    <row r="46" spans="1:16" x14ac:dyDescent="0.3">
      <c r="A46" s="3">
        <v>45</v>
      </c>
      <c r="B46" s="4">
        <v>46310</v>
      </c>
      <c r="C46" s="3" t="s">
        <v>62</v>
      </c>
      <c r="D46" s="3" t="s">
        <v>22</v>
      </c>
      <c r="E46" s="3" t="s">
        <v>71</v>
      </c>
      <c r="F46" s="9">
        <v>9</v>
      </c>
      <c r="G46" s="12">
        <v>1500</v>
      </c>
      <c r="H46" s="12">
        <v>2000</v>
      </c>
      <c r="I46" s="12">
        <f t="shared" si="0"/>
        <v>500</v>
      </c>
      <c r="J46" s="12">
        <f t="shared" si="1"/>
        <v>18000</v>
      </c>
      <c r="K46" s="12">
        <f t="shared" si="2"/>
        <v>13500</v>
      </c>
      <c r="L46" s="12">
        <f t="shared" si="3"/>
        <v>4500</v>
      </c>
      <c r="M46" s="16">
        <f t="shared" si="4"/>
        <v>0.25</v>
      </c>
      <c r="N46" s="17" t="str">
        <f t="shared" si="5"/>
        <v>Oct 2026</v>
      </c>
      <c r="O46" s="3" t="str" cm="1">
        <f t="array" ref="O46">_xlfn.IFS(J46&gt;=300000, "High Value", J46&gt;=100000, "Medium Value", TRUE, "Low Value")</f>
        <v>Low Value</v>
      </c>
      <c r="P46" s="3" t="str">
        <f t="shared" si="6"/>
        <v>Moderate Margin</v>
      </c>
    </row>
    <row r="47" spans="1:16" x14ac:dyDescent="0.3">
      <c r="A47" s="3">
        <v>46</v>
      </c>
      <c r="B47" s="4">
        <v>46311</v>
      </c>
      <c r="C47" s="3" t="s">
        <v>30</v>
      </c>
      <c r="D47" s="3" t="s">
        <v>20</v>
      </c>
      <c r="E47" s="3" t="s">
        <v>69</v>
      </c>
      <c r="F47" s="9">
        <v>12</v>
      </c>
      <c r="G47" s="12">
        <v>20000</v>
      </c>
      <c r="H47" s="12">
        <v>250000</v>
      </c>
      <c r="I47" s="12">
        <f t="shared" si="0"/>
        <v>230000</v>
      </c>
      <c r="J47" s="12">
        <f t="shared" si="1"/>
        <v>3000000</v>
      </c>
      <c r="K47" s="12">
        <f t="shared" si="2"/>
        <v>240000</v>
      </c>
      <c r="L47" s="12">
        <f t="shared" si="3"/>
        <v>2760000</v>
      </c>
      <c r="M47" s="16">
        <f t="shared" si="4"/>
        <v>0.92</v>
      </c>
      <c r="N47" s="17" t="str">
        <f t="shared" si="5"/>
        <v>Oct 2026</v>
      </c>
      <c r="O47" s="3" t="str" cm="1">
        <f t="array" ref="O47">_xlfn.IFS(J47&gt;=300000, "High Value", J47&gt;=100000, "Medium Value", TRUE, "Low Value")</f>
        <v>High Value</v>
      </c>
      <c r="P47" s="3" t="str">
        <f t="shared" si="6"/>
        <v>High Margin</v>
      </c>
    </row>
    <row r="48" spans="1:16" x14ac:dyDescent="0.3">
      <c r="A48" s="3">
        <v>47</v>
      </c>
      <c r="B48" s="4">
        <v>46312</v>
      </c>
      <c r="C48" s="3" t="s">
        <v>47</v>
      </c>
      <c r="D48" s="3" t="s">
        <v>21</v>
      </c>
      <c r="E48" s="3" t="s">
        <v>69</v>
      </c>
      <c r="F48" s="9">
        <v>7</v>
      </c>
      <c r="G48" s="12">
        <v>7000</v>
      </c>
      <c r="H48" s="12">
        <v>9000</v>
      </c>
      <c r="I48" s="12">
        <f t="shared" si="0"/>
        <v>2000</v>
      </c>
      <c r="J48" s="12">
        <f t="shared" si="1"/>
        <v>63000</v>
      </c>
      <c r="K48" s="12">
        <f t="shared" si="2"/>
        <v>49000</v>
      </c>
      <c r="L48" s="12">
        <f t="shared" si="3"/>
        <v>14000</v>
      </c>
      <c r="M48" s="16">
        <f t="shared" si="4"/>
        <v>0.22222222222222221</v>
      </c>
      <c r="N48" s="17" t="str">
        <f t="shared" si="5"/>
        <v>Oct 2026</v>
      </c>
      <c r="O48" s="3" t="str" cm="1">
        <f t="array" ref="O48">_xlfn.IFS(J48&gt;=300000, "High Value", J48&gt;=100000, "Medium Value", TRUE, "Low Value")</f>
        <v>Low Value</v>
      </c>
      <c r="P48" s="3" t="str">
        <f t="shared" si="6"/>
        <v>Moderate Margin</v>
      </c>
    </row>
    <row r="49" spans="1:16" x14ac:dyDescent="0.3">
      <c r="A49" s="3">
        <v>48</v>
      </c>
      <c r="B49" s="4">
        <v>46313</v>
      </c>
      <c r="C49" s="3" t="s">
        <v>63</v>
      </c>
      <c r="D49" s="3" t="s">
        <v>22</v>
      </c>
      <c r="E49" s="3" t="s">
        <v>68</v>
      </c>
      <c r="F49" s="9">
        <v>6</v>
      </c>
      <c r="G49" s="12">
        <v>6300</v>
      </c>
      <c r="H49" s="12">
        <v>6500</v>
      </c>
      <c r="I49" s="12">
        <f t="shared" si="0"/>
        <v>200</v>
      </c>
      <c r="J49" s="12">
        <f t="shared" si="1"/>
        <v>39000</v>
      </c>
      <c r="K49" s="12">
        <f t="shared" si="2"/>
        <v>37800</v>
      </c>
      <c r="L49" s="12">
        <f t="shared" si="3"/>
        <v>1200</v>
      </c>
      <c r="M49" s="16">
        <f t="shared" si="4"/>
        <v>3.0769230769230771E-2</v>
      </c>
      <c r="N49" s="17" t="str">
        <f t="shared" si="5"/>
        <v>Oct 2026</v>
      </c>
      <c r="O49" s="3" t="str" cm="1">
        <f t="array" ref="O49">_xlfn.IFS(J49&gt;=300000, "High Value", J49&gt;=100000, "Medium Value", TRUE, "Low Value")</f>
        <v>Low Value</v>
      </c>
      <c r="P49" s="3" t="str">
        <f t="shared" si="6"/>
        <v>Low Margin</v>
      </c>
    </row>
    <row r="50" spans="1:16" x14ac:dyDescent="0.3">
      <c r="A50" s="3">
        <v>49</v>
      </c>
      <c r="B50" s="4">
        <v>46314</v>
      </c>
      <c r="C50" s="3" t="s">
        <v>31</v>
      </c>
      <c r="D50" s="3" t="s">
        <v>20</v>
      </c>
      <c r="E50" s="3" t="s">
        <v>71</v>
      </c>
      <c r="F50" s="9">
        <v>14</v>
      </c>
      <c r="G50" s="12">
        <v>8000</v>
      </c>
      <c r="H50" s="12">
        <v>9000</v>
      </c>
      <c r="I50" s="12">
        <f t="shared" si="0"/>
        <v>1000</v>
      </c>
      <c r="J50" s="12">
        <f t="shared" si="1"/>
        <v>126000</v>
      </c>
      <c r="K50" s="12">
        <f t="shared" si="2"/>
        <v>112000</v>
      </c>
      <c r="L50" s="12">
        <f t="shared" si="3"/>
        <v>14000</v>
      </c>
      <c r="M50" s="16">
        <f t="shared" si="4"/>
        <v>0.1111111111111111</v>
      </c>
      <c r="N50" s="17" t="str">
        <f t="shared" si="5"/>
        <v>Oct 2026</v>
      </c>
      <c r="O50" s="3" t="str" cm="1">
        <f t="array" ref="O50">_xlfn.IFS(J50&gt;=300000, "High Value", J50&gt;=100000, "Medium Value", TRUE, "Low Value")</f>
        <v>Medium Value</v>
      </c>
      <c r="P50" s="3" t="str">
        <f t="shared" si="6"/>
        <v>Low Margin</v>
      </c>
    </row>
    <row r="51" spans="1:16" x14ac:dyDescent="0.3">
      <c r="A51" s="3">
        <v>50</v>
      </c>
      <c r="B51" s="4">
        <v>46315</v>
      </c>
      <c r="C51" s="3" t="s">
        <v>64</v>
      </c>
      <c r="D51" s="3" t="s">
        <v>22</v>
      </c>
      <c r="E51" s="3" t="s">
        <v>71</v>
      </c>
      <c r="F51" s="9">
        <v>11</v>
      </c>
      <c r="G51" s="12">
        <v>1500</v>
      </c>
      <c r="H51" s="12">
        <v>1800</v>
      </c>
      <c r="I51" s="12">
        <f t="shared" si="0"/>
        <v>300</v>
      </c>
      <c r="J51" s="12">
        <f t="shared" si="1"/>
        <v>19800</v>
      </c>
      <c r="K51" s="12">
        <f t="shared" si="2"/>
        <v>16500</v>
      </c>
      <c r="L51" s="12">
        <f t="shared" si="3"/>
        <v>3300</v>
      </c>
      <c r="M51" s="16">
        <f t="shared" si="4"/>
        <v>0.16666666666666666</v>
      </c>
      <c r="N51" s="17" t="str">
        <f t="shared" si="5"/>
        <v>Oct 2026</v>
      </c>
      <c r="O51" s="3" t="str" cm="1">
        <f t="array" ref="O51">_xlfn.IFS(J51&gt;=300000, "High Value", J51&gt;=100000, "Medium Value", TRUE, "Low Value")</f>
        <v>Low Value</v>
      </c>
      <c r="P51" s="3" t="str">
        <f t="shared" si="6"/>
        <v>Low Margin</v>
      </c>
    </row>
    <row r="52" spans="1:16" x14ac:dyDescent="0.3">
      <c r="A52" s="3">
        <v>51</v>
      </c>
      <c r="B52" s="4">
        <v>46316</v>
      </c>
      <c r="C52" s="3" t="s">
        <v>48</v>
      </c>
      <c r="D52" s="3" t="s">
        <v>21</v>
      </c>
      <c r="E52" s="3" t="s">
        <v>69</v>
      </c>
      <c r="F52" s="9">
        <v>15</v>
      </c>
      <c r="G52" s="12">
        <v>15000</v>
      </c>
      <c r="H52" s="12">
        <v>20000</v>
      </c>
      <c r="I52" s="12">
        <f t="shared" si="0"/>
        <v>5000</v>
      </c>
      <c r="J52" s="12">
        <f t="shared" si="1"/>
        <v>300000</v>
      </c>
      <c r="K52" s="12">
        <f t="shared" si="2"/>
        <v>225000</v>
      </c>
      <c r="L52" s="12">
        <f t="shared" si="3"/>
        <v>75000</v>
      </c>
      <c r="M52" s="16">
        <f t="shared" si="4"/>
        <v>0.25</v>
      </c>
      <c r="N52" s="17" t="str">
        <f t="shared" si="5"/>
        <v>Oct 2026</v>
      </c>
      <c r="O52" s="3" t="str" cm="1">
        <f t="array" ref="O52">_xlfn.IFS(J52&gt;=300000, "High Value", J52&gt;=100000, "Medium Value", TRUE, "Low Value")</f>
        <v>High Value</v>
      </c>
      <c r="P52" s="3" t="str">
        <f t="shared" si="6"/>
        <v>Moderate Margin</v>
      </c>
    </row>
    <row r="53" spans="1:16" x14ac:dyDescent="0.3">
      <c r="A53" s="3">
        <v>52</v>
      </c>
      <c r="B53" s="4">
        <v>46317</v>
      </c>
      <c r="C53" s="3" t="s">
        <v>32</v>
      </c>
      <c r="D53" s="3" t="s">
        <v>20</v>
      </c>
      <c r="E53" s="3" t="s">
        <v>70</v>
      </c>
      <c r="F53" s="9">
        <v>7</v>
      </c>
      <c r="G53" s="12">
        <v>32000</v>
      </c>
      <c r="H53" s="12">
        <v>35000</v>
      </c>
      <c r="I53" s="12">
        <f t="shared" si="0"/>
        <v>3000</v>
      </c>
      <c r="J53" s="12">
        <f t="shared" si="1"/>
        <v>245000</v>
      </c>
      <c r="K53" s="12">
        <f t="shared" si="2"/>
        <v>224000</v>
      </c>
      <c r="L53" s="12">
        <f t="shared" si="3"/>
        <v>21000</v>
      </c>
      <c r="M53" s="16">
        <f t="shared" si="4"/>
        <v>8.5714285714285715E-2</v>
      </c>
      <c r="N53" s="17" t="str">
        <f t="shared" si="5"/>
        <v>Oct 2026</v>
      </c>
      <c r="O53" s="3" t="str" cm="1">
        <f t="array" ref="O53">_xlfn.IFS(J53&gt;=300000, "High Value", J53&gt;=100000, "Medium Value", TRUE, "Low Value")</f>
        <v>Medium Value</v>
      </c>
      <c r="P53" s="3" t="str">
        <f t="shared" si="6"/>
        <v>Low Margin</v>
      </c>
    </row>
    <row r="54" spans="1:16" x14ac:dyDescent="0.3">
      <c r="A54" s="3">
        <v>53</v>
      </c>
      <c r="B54" s="4">
        <v>46318</v>
      </c>
      <c r="C54" s="3" t="s">
        <v>33</v>
      </c>
      <c r="D54" s="3" t="s">
        <v>20</v>
      </c>
      <c r="E54" s="3" t="s">
        <v>70</v>
      </c>
      <c r="F54" s="9">
        <v>6</v>
      </c>
      <c r="G54" s="12">
        <v>17000</v>
      </c>
      <c r="H54" s="12">
        <v>20000</v>
      </c>
      <c r="I54" s="12">
        <f t="shared" si="0"/>
        <v>3000</v>
      </c>
      <c r="J54" s="12">
        <f t="shared" si="1"/>
        <v>120000</v>
      </c>
      <c r="K54" s="12">
        <f t="shared" si="2"/>
        <v>102000</v>
      </c>
      <c r="L54" s="12">
        <f t="shared" si="3"/>
        <v>18000</v>
      </c>
      <c r="M54" s="16">
        <f t="shared" si="4"/>
        <v>0.15</v>
      </c>
      <c r="N54" s="17" t="str">
        <f t="shared" si="5"/>
        <v>Oct 2026</v>
      </c>
      <c r="O54" s="3" t="str" cm="1">
        <f t="array" ref="O54">_xlfn.IFS(J54&gt;=300000, "High Value", J54&gt;=100000, "Medium Value", TRUE, "Low Value")</f>
        <v>Medium Value</v>
      </c>
      <c r="P54" s="3" t="str">
        <f t="shared" si="6"/>
        <v>Low Margin</v>
      </c>
    </row>
    <row r="55" spans="1:16" x14ac:dyDescent="0.3">
      <c r="A55" s="3">
        <v>54</v>
      </c>
      <c r="B55" s="4">
        <v>46319</v>
      </c>
      <c r="C55" s="3" t="s">
        <v>34</v>
      </c>
      <c r="D55" s="3" t="s">
        <v>20</v>
      </c>
      <c r="E55" s="3" t="s">
        <v>68</v>
      </c>
      <c r="F55" s="9">
        <v>9</v>
      </c>
      <c r="G55" s="12">
        <v>2500</v>
      </c>
      <c r="H55" s="12">
        <v>2800</v>
      </c>
      <c r="I55" s="12">
        <f t="shared" si="0"/>
        <v>300</v>
      </c>
      <c r="J55" s="12">
        <f t="shared" si="1"/>
        <v>25200</v>
      </c>
      <c r="K55" s="12">
        <f t="shared" si="2"/>
        <v>22500</v>
      </c>
      <c r="L55" s="12">
        <f t="shared" si="3"/>
        <v>2700</v>
      </c>
      <c r="M55" s="16">
        <f t="shared" si="4"/>
        <v>0.10714285714285714</v>
      </c>
      <c r="N55" s="17" t="str">
        <f t="shared" si="5"/>
        <v>Oct 2026</v>
      </c>
      <c r="O55" s="3" t="str" cm="1">
        <f t="array" ref="O55">_xlfn.IFS(J55&gt;=300000, "High Value", J55&gt;=100000, "Medium Value", TRUE, "Low Value")</f>
        <v>Low Value</v>
      </c>
      <c r="P55" s="3" t="str">
        <f t="shared" si="6"/>
        <v>Low Margin</v>
      </c>
    </row>
    <row r="56" spans="1:16" x14ac:dyDescent="0.3">
      <c r="A56" s="3">
        <v>55</v>
      </c>
      <c r="B56" s="4">
        <v>46320</v>
      </c>
      <c r="C56" s="3" t="s">
        <v>65</v>
      </c>
      <c r="D56" s="3" t="s">
        <v>22</v>
      </c>
      <c r="E56" s="3" t="s">
        <v>69</v>
      </c>
      <c r="F56" s="9">
        <v>10</v>
      </c>
      <c r="G56" s="12">
        <v>2700</v>
      </c>
      <c r="H56" s="12">
        <v>3000</v>
      </c>
      <c r="I56" s="12">
        <f t="shared" si="0"/>
        <v>300</v>
      </c>
      <c r="J56" s="12">
        <f t="shared" si="1"/>
        <v>30000</v>
      </c>
      <c r="K56" s="12">
        <f t="shared" si="2"/>
        <v>27000</v>
      </c>
      <c r="L56" s="12">
        <f t="shared" si="3"/>
        <v>3000</v>
      </c>
      <c r="M56" s="16">
        <f t="shared" si="4"/>
        <v>0.1</v>
      </c>
      <c r="N56" s="17" t="str">
        <f t="shared" si="5"/>
        <v>Oct 2026</v>
      </c>
      <c r="O56" s="3" t="str" cm="1">
        <f t="array" ref="O56">_xlfn.IFS(J56&gt;=300000, "High Value", J56&gt;=100000, "Medium Value", TRUE, "Low Value")</f>
        <v>Low Value</v>
      </c>
      <c r="P56" s="3" t="str">
        <f t="shared" si="6"/>
        <v>Low Margin</v>
      </c>
    </row>
    <row r="57" spans="1:16" x14ac:dyDescent="0.3">
      <c r="A57" s="3">
        <v>56</v>
      </c>
      <c r="B57" s="4">
        <v>46321</v>
      </c>
      <c r="C57" s="3" t="s">
        <v>66</v>
      </c>
      <c r="D57" s="3" t="s">
        <v>22</v>
      </c>
      <c r="E57" s="3" t="s">
        <v>68</v>
      </c>
      <c r="F57" s="9">
        <v>5</v>
      </c>
      <c r="G57" s="12">
        <v>250</v>
      </c>
      <c r="H57" s="12">
        <v>300</v>
      </c>
      <c r="I57" s="12">
        <f t="shared" si="0"/>
        <v>50</v>
      </c>
      <c r="J57" s="12">
        <f t="shared" si="1"/>
        <v>1500</v>
      </c>
      <c r="K57" s="12">
        <f t="shared" si="2"/>
        <v>1250</v>
      </c>
      <c r="L57" s="12">
        <f t="shared" si="3"/>
        <v>250</v>
      </c>
      <c r="M57" s="16">
        <f t="shared" si="4"/>
        <v>0.16666666666666666</v>
      </c>
      <c r="N57" s="17" t="str">
        <f t="shared" si="5"/>
        <v>Oct 2026</v>
      </c>
      <c r="O57" s="3" t="str" cm="1">
        <f t="array" ref="O57">_xlfn.IFS(J57&gt;=300000, "High Value", J57&gt;=100000, "Medium Value", TRUE, "Low Value")</f>
        <v>Low Value</v>
      </c>
      <c r="P57" s="3" t="str">
        <f t="shared" si="6"/>
        <v>Low Margin</v>
      </c>
    </row>
    <row r="58" spans="1:16" x14ac:dyDescent="0.3">
      <c r="A58" s="3">
        <v>57</v>
      </c>
      <c r="B58" s="4">
        <v>46322</v>
      </c>
      <c r="C58" s="3" t="s">
        <v>49</v>
      </c>
      <c r="D58" s="3" t="s">
        <v>21</v>
      </c>
      <c r="E58" s="3" t="s">
        <v>69</v>
      </c>
      <c r="F58" s="9">
        <v>8</v>
      </c>
      <c r="G58" s="12">
        <v>7000</v>
      </c>
      <c r="H58" s="12">
        <v>8000</v>
      </c>
      <c r="I58" s="12">
        <f t="shared" si="0"/>
        <v>1000</v>
      </c>
      <c r="J58" s="12">
        <f t="shared" si="1"/>
        <v>64000</v>
      </c>
      <c r="K58" s="12">
        <f t="shared" si="2"/>
        <v>56000</v>
      </c>
      <c r="L58" s="12">
        <f t="shared" si="3"/>
        <v>8000</v>
      </c>
      <c r="M58" s="16">
        <f t="shared" si="4"/>
        <v>0.125</v>
      </c>
      <c r="N58" s="17" t="str">
        <f t="shared" si="5"/>
        <v>Oct 2026</v>
      </c>
      <c r="O58" s="3" t="str" cm="1">
        <f t="array" ref="O58">_xlfn.IFS(J58&gt;=300000, "High Value", J58&gt;=100000, "Medium Value", TRUE, "Low Value")</f>
        <v>Low Value</v>
      </c>
      <c r="P58" s="3" t="str">
        <f t="shared" si="6"/>
        <v>Low Margin</v>
      </c>
    </row>
    <row r="59" spans="1:16" x14ac:dyDescent="0.3">
      <c r="A59" s="3">
        <v>58</v>
      </c>
      <c r="B59" s="4">
        <v>46323</v>
      </c>
      <c r="C59" s="3" t="s">
        <v>50</v>
      </c>
      <c r="D59" s="3" t="s">
        <v>21</v>
      </c>
      <c r="E59" s="3" t="s">
        <v>71</v>
      </c>
      <c r="F59" s="9">
        <v>3</v>
      </c>
      <c r="G59" s="12">
        <v>18000</v>
      </c>
      <c r="H59" s="12">
        <v>19500</v>
      </c>
      <c r="I59" s="12">
        <f t="shared" si="0"/>
        <v>1500</v>
      </c>
      <c r="J59" s="12">
        <f t="shared" si="1"/>
        <v>58500</v>
      </c>
      <c r="K59" s="12">
        <f t="shared" si="2"/>
        <v>54000</v>
      </c>
      <c r="L59" s="12">
        <f t="shared" si="3"/>
        <v>4500</v>
      </c>
      <c r="M59" s="16">
        <f t="shared" si="4"/>
        <v>7.6923076923076927E-2</v>
      </c>
      <c r="N59" s="17" t="str">
        <f t="shared" si="5"/>
        <v>Oct 2026</v>
      </c>
      <c r="O59" s="3" t="str" cm="1">
        <f t="array" ref="O59">_xlfn.IFS(J59&gt;=300000, "High Value", J59&gt;=100000, "Medium Value", TRUE, "Low Value")</f>
        <v>Low Value</v>
      </c>
      <c r="P59" s="3" t="str">
        <f t="shared" si="6"/>
        <v>Low Margin</v>
      </c>
    </row>
    <row r="60" spans="1:16" x14ac:dyDescent="0.3">
      <c r="A60" s="3">
        <v>59</v>
      </c>
      <c r="B60" s="4">
        <v>46324</v>
      </c>
      <c r="C60" s="3" t="s">
        <v>67</v>
      </c>
      <c r="D60" s="3" t="s">
        <v>22</v>
      </c>
      <c r="E60" s="3" t="s">
        <v>70</v>
      </c>
      <c r="F60" s="9">
        <v>18</v>
      </c>
      <c r="G60" s="12">
        <v>300</v>
      </c>
      <c r="H60" s="12">
        <v>450</v>
      </c>
      <c r="I60" s="12">
        <f t="shared" si="0"/>
        <v>150</v>
      </c>
      <c r="J60" s="12">
        <f t="shared" si="1"/>
        <v>8100</v>
      </c>
      <c r="K60" s="12">
        <f t="shared" si="2"/>
        <v>5400</v>
      </c>
      <c r="L60" s="12">
        <f t="shared" si="3"/>
        <v>2700</v>
      </c>
      <c r="M60" s="16">
        <f t="shared" si="4"/>
        <v>0.33333333333333331</v>
      </c>
      <c r="N60" s="17" t="str">
        <f t="shared" si="5"/>
        <v>Oct 2026</v>
      </c>
      <c r="O60" s="3" t="str" cm="1">
        <f t="array" ref="O60">_xlfn.IFS(J60&gt;=300000, "High Value", J60&gt;=100000, "Medium Value", TRUE, "Low Value")</f>
        <v>Low Value</v>
      </c>
      <c r="P60" s="3" t="str">
        <f t="shared" si="6"/>
        <v>Moderate Margin</v>
      </c>
    </row>
    <row r="61" spans="1:16" x14ac:dyDescent="0.3">
      <c r="A61" s="3">
        <v>60</v>
      </c>
      <c r="B61" s="4">
        <v>46325</v>
      </c>
      <c r="C61" s="3" t="s">
        <v>35</v>
      </c>
      <c r="D61" s="3" t="s">
        <v>20</v>
      </c>
      <c r="E61" s="3" t="s">
        <v>71</v>
      </c>
      <c r="F61" s="9">
        <v>15</v>
      </c>
      <c r="G61" s="12">
        <v>23000</v>
      </c>
      <c r="H61" s="12">
        <v>25000</v>
      </c>
      <c r="I61" s="12">
        <f t="shared" si="0"/>
        <v>2000</v>
      </c>
      <c r="J61" s="12">
        <f t="shared" si="1"/>
        <v>375000</v>
      </c>
      <c r="K61" s="12">
        <f t="shared" si="2"/>
        <v>345000</v>
      </c>
      <c r="L61" s="12">
        <f t="shared" si="3"/>
        <v>30000</v>
      </c>
      <c r="M61" s="16">
        <f t="shared" si="4"/>
        <v>0.08</v>
      </c>
      <c r="N61" s="17" t="str">
        <f t="shared" si="5"/>
        <v>Oct 2026</v>
      </c>
      <c r="O61" s="3" t="str" cm="1">
        <f t="array" ref="O61">_xlfn.IFS(J61&gt;=300000, "High Value", J61&gt;=100000, "Medium Value", TRUE, "Low Value")</f>
        <v>High Value</v>
      </c>
      <c r="P61" s="3" t="str">
        <f t="shared" si="6"/>
        <v>Low Margin</v>
      </c>
    </row>
    <row r="63" spans="1:16" x14ac:dyDescent="0.3">
      <c r="J63" s="13"/>
    </row>
    <row r="1048576" spans="8:8" x14ac:dyDescent="0.3">
      <c r="H1048576" s="13">
        <f>SUM(H2:H1048575)</f>
        <v>1083550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1582B-4E40-48AB-91C8-3ABB94EE2253}">
  <dimension ref="A1:N5"/>
  <sheetViews>
    <sheetView topLeftCell="H1" workbookViewId="0">
      <selection activeCell="N3" sqref="N3"/>
    </sheetView>
  </sheetViews>
  <sheetFormatPr defaultRowHeight="14.4" x14ac:dyDescent="0.3"/>
  <cols>
    <col min="1" max="1" width="12.44140625" bestFit="1" customWidth="1"/>
    <col min="2" max="2" width="20.44140625" bestFit="1" customWidth="1"/>
    <col min="3" max="3" width="25.21875" bestFit="1" customWidth="1"/>
    <col min="6" max="6" width="16.109375" bestFit="1" customWidth="1"/>
    <col min="7" max="7" width="15.5546875" bestFit="1" customWidth="1"/>
    <col min="8" max="8" width="9.21875" bestFit="1" customWidth="1"/>
    <col min="9" max="10" width="10.5546875" bestFit="1" customWidth="1"/>
    <col min="12" max="12" width="12.44140625" bestFit="1" customWidth="1"/>
    <col min="13" max="13" width="20.44140625" bestFit="1" customWidth="1"/>
    <col min="14" max="14" width="18.6640625" bestFit="1" customWidth="1"/>
  </cols>
  <sheetData>
    <row r="1" spans="1:14" x14ac:dyDescent="0.3">
      <c r="A1" s="18" t="s">
        <v>84</v>
      </c>
      <c r="B1" t="s">
        <v>86</v>
      </c>
      <c r="C1" t="s">
        <v>87</v>
      </c>
      <c r="F1" s="18" t="s">
        <v>91</v>
      </c>
      <c r="G1" s="18" t="s">
        <v>90</v>
      </c>
      <c r="L1" s="18" t="s">
        <v>84</v>
      </c>
      <c r="M1" t="s">
        <v>86</v>
      </c>
      <c r="N1" t="s">
        <v>94</v>
      </c>
    </row>
    <row r="2" spans="1:14" x14ac:dyDescent="0.3">
      <c r="A2" s="19" t="s">
        <v>85</v>
      </c>
      <c r="B2" s="20"/>
      <c r="C2" s="21"/>
      <c r="F2" s="18" t="s">
        <v>84</v>
      </c>
      <c r="G2" t="s">
        <v>88</v>
      </c>
      <c r="H2" t="s">
        <v>89</v>
      </c>
      <c r="I2" t="s">
        <v>85</v>
      </c>
      <c r="L2" s="19" t="s">
        <v>92</v>
      </c>
      <c r="M2" s="22">
        <v>3013000</v>
      </c>
      <c r="N2" s="22">
        <v>2765200</v>
      </c>
    </row>
    <row r="3" spans="1:14" x14ac:dyDescent="0.3">
      <c r="F3" s="19" t="s">
        <v>71</v>
      </c>
      <c r="G3" s="22"/>
      <c r="H3" s="22">
        <v>1</v>
      </c>
      <c r="I3" s="22">
        <v>1</v>
      </c>
      <c r="L3" s="19" t="s">
        <v>93</v>
      </c>
      <c r="M3" s="22">
        <v>34000</v>
      </c>
      <c r="N3" s="22">
        <v>13600</v>
      </c>
    </row>
    <row r="4" spans="1:14" x14ac:dyDescent="0.3">
      <c r="F4" s="19" t="s">
        <v>69</v>
      </c>
      <c r="G4" s="22">
        <v>1</v>
      </c>
      <c r="H4" s="22">
        <v>2</v>
      </c>
      <c r="I4" s="22">
        <v>3</v>
      </c>
      <c r="L4" s="19" t="s">
        <v>85</v>
      </c>
      <c r="M4" s="22">
        <v>3047000</v>
      </c>
      <c r="N4" s="22">
        <v>2778800</v>
      </c>
    </row>
    <row r="5" spans="1:14" x14ac:dyDescent="0.3">
      <c r="F5" s="19" t="s">
        <v>85</v>
      </c>
      <c r="G5" s="22">
        <v>1</v>
      </c>
      <c r="H5" s="22">
        <v>3</v>
      </c>
      <c r="I5" s="22">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43D56-AA18-4E50-93D5-A588644FB279}">
  <dimension ref="A1"/>
  <sheetViews>
    <sheetView showGridLines="0" tabSelected="1" zoomScale="70" workbookViewId="0">
      <selection activeCell="U36" sqref="U3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C617E614-41FD-4BF1-B0F0-A6F4D527E033}">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A1B1C531-DB64-4998-8D83-86938910C289}">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Data</vt:lpstr>
      <vt:lpstr>Analysis &amp; 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 Swarup Sahoo</dc:creator>
  <cp:lastModifiedBy>Satya Swarup Sahoo</cp:lastModifiedBy>
  <dcterms:created xsi:type="dcterms:W3CDTF">2026-09-07T16:46:57Z</dcterms:created>
  <dcterms:modified xsi:type="dcterms:W3CDTF">2026-09-25T15:09:06Z</dcterms:modified>
</cp:coreProperties>
</file>